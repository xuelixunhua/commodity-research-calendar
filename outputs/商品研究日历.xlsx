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58df0badd48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季度总览" sheetId="1" r:id="R0af53bd0223b4ddf"/>
    <x:sheet xmlns:r="http://schemas.openxmlformats.org/officeDocument/2006/relationships" name="共享事件" sheetId="2" r:id="R555d130008b14f0d"/>
    <x:sheet xmlns:r="http://schemas.openxmlformats.org/officeDocument/2006/relationships" name="品种影响" sheetId="3" r:id="Rbfcadc19bebe493c"/>
    <x:sheet xmlns:r="http://schemas.openxmlformats.org/officeDocument/2006/relationships" name="电力研究维度" sheetId="4" r:id="R78072d5bbbe4423d"/>
    <x:sheet xmlns:r="http://schemas.openxmlformats.org/officeDocument/2006/relationships" name="品种联动" sheetId="5" r:id="Rda5acd966e524f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sz val="10"/>
      <x:color rgb="FF263238"/>
      <x:name val="Microsoft YaHei"/>
    </x:font>
    <x:font>
      <x:b/>
      <x:sz val="10"/>
      <x:color rgb="FFFFFFFF"/>
      <x:name val="Microsoft YaHei"/>
    </x:font>
    <x:font>
      <x:b/>
      <x:sz val="14"/>
      <x:color rgb="FF263238"/>
      <x:name val="Microsoft YaHei"/>
    </x:font>
    <x:font>
      <x:b/>
      <x:sz val="10"/>
      <x:color rgb="FF263238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9485C"/>
      </x:patternFill>
    </x:fill>
    <x:fill>
      <x:patternFill patternType="solid">
        <x:fgColor rgb="FFEAF3EE"/>
      </x:patternFill>
    </x:fill>
    <x:fill>
      <x:patternFill patternType="solid">
        <x:fgColor rgb="FFFFF9E8"/>
      </x:patternFill>
    </x:fill>
    <x:fill>
      <x:patternFill patternType="solid">
        <x:fgColor rgb="FFEFF3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0"/>
    </x:xf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0"/>
    </x:xf>
  </x:cellXfs>
  <x:cellStyles count="1">
    <x:cellStyle name="Normal" xfId="0"/>
  </x:cellStyles>
  <x:dxfs count="3">
    <x:dxf>
      <x:font>
        <x:color rgb="FF875800"/>
      </x:font>
      <x:fill>
        <x:patternFill patternType="solid">
          <x:bgColor rgb="FFFFF0CE"/>
        </x:patternFill>
      </x:fill>
    </x:dxf>
    <x:dxf>
      <x:font>
        <x:color rgb="FFA32222"/>
      </x:font>
      <x:fill>
        <x:patternFill patternType="solid">
          <x:bgColor rgb="FFFFE3DF"/>
        </x:patternFill>
      </x:fill>
    </x:dxf>
    <x:dxf>
      <x:font>
        <x:color rgb="FFA32222"/>
      </x:font>
      <x:fill>
        <x:patternFill patternType="solid">
          <x:bgColor rgb="FFFFE3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593e2dde604f1c" /><Relationship Type="http://schemas.openxmlformats.org/officeDocument/2006/relationships/theme" Target="/xl/theme/theme1.xml" Id="Rf3c373c68d304fc2" /><Relationship Type="http://schemas.openxmlformats.org/officeDocument/2006/relationships/sharedStrings" Target="/xl/sharedStrings.xml" Id="R81fe97f4622d4a12" /><Relationship Type="http://schemas.openxmlformats.org/officeDocument/2006/relationships/worksheet" Target="/xl/worksheets/sheet1.xml" Id="R0af53bd0223b4ddf" /><Relationship Type="http://schemas.openxmlformats.org/officeDocument/2006/relationships/worksheet" Target="/xl/worksheets/sheet2.xml" Id="R555d130008b14f0d" /><Relationship Type="http://schemas.openxmlformats.org/officeDocument/2006/relationships/worksheet" Target="/xl/worksheets/sheet3.xml" Id="Rbfcadc19bebe493c" /><Relationship Type="http://schemas.openxmlformats.org/officeDocument/2006/relationships/worksheet" Target="/xl/worksheets/sheet4.xml" Id="R78072d5bbbe4423d" /><Relationship Type="http://schemas.openxmlformats.org/officeDocument/2006/relationships/worksheet" Target="/xl/worksheets/sheet5.xml" Id="Rda5acd966e524fa4" /></Relationships>
</file>

<file path=xl/tables/table1.xml><?xml version="1.0" encoding="utf-8"?>
<x:table xmlns:x="http://schemas.openxmlformats.org/spreadsheetml/2006/main" id="1" name="Events" displayName="Events" ref="A1:M301" headerRowCount="1" totalsRowCount="0" totalsRowShown="0">
  <x:autoFilter ref="A1:M301"/>
  <x:tableColumns count="13">
    <x:tableColumn id="1" name="事件ID"/>
    <x:tableColumn id="2" name="事件"/>
    <x:tableColumn id="3" name="年份"/>
    <x:tableColumn id="4" name="季度"/>
    <x:tableColumn id="5" name="确切日期"/>
    <x:tableColumn id="6" name="时间窗口"/>
    <x:tableColumn id="7" name="事件状态"/>
    <x:tableColumn id="8" name="发生地区"/>
    <x:tableColumn id="9" name="类别"/>
    <x:tableColumn id="10" name="事件事实"/>
    <x:tableColumn id="11" name="来源发布日期"/>
    <x:tableColumn id="12" name="来源"/>
    <x:tableColumn id="13" name="来源链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acts" displayName="Impacts" ref="A1:J301" headerRowCount="1" totalsRowCount="0" totalsRowShown="0">
  <x:autoFilter ref="A1:J301"/>
  <x:tableColumns count="10">
    <x:tableColumn id="1" name="影响ID"/>
    <x:tableColumn id="2" name="事件ID"/>
    <x:tableColumn id="3" name="品种"/>
    <x:tableColumn id="4" name="影响地区"/>
    <x:tableColumn id="5" name="模块"/>
    <x:tableColumn id="6" name="研究因素"/>
    <x:tableColumn id="7" name="影响判断"/>
    <x:tableColumn id="8" name="跟踪指标"/>
    <x:tableColumn id="9" name="成立条件"/>
    <x:tableColumn id="10" name="影响窗口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ctors" displayName="Factors" ref="A1:I301" headerRowCount="1" totalsRowCount="0" totalsRowShown="0">
  <x:autoFilter ref="A1:I301"/>
  <x:tableColumns count="9">
    <x:tableColumn id="1" name="因素ID"/>
    <x:tableColumn id="2" name="模块"/>
    <x:tableColumn id="3" name="研究因素"/>
    <x:tableColumn id="4" name="重点地区"/>
    <x:tableColumn id="5" name="观察指标"/>
    <x:tableColumn id="6" name="传导机制"/>
    <x:tableColumn id="7" name="季节与时间窗口"/>
    <x:tableColumn id="8" name="适用边界"/>
    <x:tableColumn id="9" name="常用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lations" displayName="Relations" ref="A1:G301" headerRowCount="1" totalsRowCount="0" totalsRowShown="0">
  <x:autoFilter ref="A1:G301"/>
  <x:tableColumns count="7">
    <x:tableColumn id="1" name="关系ID"/>
    <x:tableColumn id="2" name="起点"/>
    <x:tableColumn id="3" name="终点"/>
    <x:tableColumn id="4" name="关系类型"/>
    <x:tableColumn id="5" name="传导路径"/>
    <x:tableColumn id="6" name="观察指标"/>
    <x:tableColumn id="7" name="成立条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9b14e728cf4a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f0154e360449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5dbe6dd73c46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8549f186b34a43" /></Relationships>
</file>

<file path=xl/worksheets/sheet1.xml><?xml version="1.0" encoding="utf-8"?>
<x:worksheet xmlns:x="http://schemas.openxmlformats.org/spreadsheetml/2006/main">
  <x:sheetPr>
    <x:tabColor rgb="FF29485C"/>
  </x:sheetPr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</x:cols>
  <x:sheetData>
    <x:row r="2">
      <x:c r="A2" s="19" t="str">
        <x:v>商品研究日历</x:v>
      </x:c>
      <x:c r="B2" s="1"/>
      <x:c r="C2" s="1"/>
      <x:c r="D2" s="1"/>
      <x:c r="E2" s="1"/>
      <x:c r="F2" s="1"/>
    </x:row>
    <x:row r="3">
      <x:c r="A3" s="1" t="str">
        <x:v>年份</x:v>
      </x:c>
      <x:c r="B3" s="21" t="n">
        <x:v>2026</x:v>
      </x:c>
      <x:c r="C3" s="1" t="str">
        <x:v>品种</x:v>
      </x:c>
      <x:c r="D3" s="21" t="str">
        <x:v>电力</x:v>
      </x:c>
      <x:c r="E3" s="1" t="str">
        <x:v>地区</x:v>
      </x:c>
      <x:c r="F3" s="21" t="str">
        <x:v>辽宁</x:v>
      </x:c>
    </x:row>
    <x:row r="4">
      <x:c r="A4" s="1"/>
      <x:c r="B4" s="1"/>
      <x:c r="C4" s="1"/>
      <x:c r="D4" s="1"/>
      <x:c r="E4" s="1"/>
      <x:c r="F4" s="1"/>
    </x:row>
    <x:row r="5">
      <x:c r="A5" s="22" t="str">
        <x:v>研究模块</x:v>
      </x:c>
      <x:c r="B5" s="22" t="str">
        <x:v>一季度 1—3月</x:v>
      </x:c>
      <x:c r="C5" s="22" t="str">
        <x:v>二季度 4—6月</x:v>
      </x:c>
      <x:c r="D5" s="22" t="str">
        <x:v>三季度 7—9月</x:v>
      </x:c>
      <x:c r="E5" s="22" t="str">
        <x:v>四季度 10—12月</x:v>
      </x:c>
      <x:c r="F5" s="22" t="str">
        <x:v>年内待定</x:v>
      </x:c>
    </x:row>
    <x:row r="6" ht="44" customHeight="1">
      <x:c r="A6" s="24" t="str">
        <x:v>宏观与气候</x:v>
      </x:c>
      <x:c r="B6" s="7" t="str">
        <x:f>_xlfn.TEXTJOIN(CHAR(10)&amp;CHAR(10),TRUE,_xlfn._xlws.FILTER('品种影响'!$P$2:$P$301,('品种影响'!$O$2:$O$301=1)*('品种影响'!$E$2:$E$301=$A6)*('品种影响'!$M$2:$M$301=1),""))</x:f>
      </x:c>
      <x:c r="C6" s="7" t="str">
        <x:f>_xlfn.TEXTJOIN(CHAR(10)&amp;CHAR(10),TRUE,_xlfn._xlws.FILTER('品种影响'!$P$2:$P$301,('品种影响'!$O$2:$O$301=1)*('品种影响'!$E$2:$E$301=$A6)*('品种影响'!$M$2:$M$301=2),""))</x:f>
      </x:c>
      <x:c r="D6" s="7" t="str">
        <x:f>_xlfn.TEXTJOIN(CHAR(10)&amp;CHAR(10),TRUE,_xlfn._xlws.FILTER('品种影响'!$P$2:$P$301,('品种影响'!$O$2:$O$301=1)*('品种影响'!$E$2:$E$301=$A6)*('品种影响'!$M$2:$M$301=3),""))</x:f>
      </x:c>
      <x:c r="E6" s="7" t="str">
        <x:f>_xlfn.TEXTJOIN(CHAR(10)&amp;CHAR(10),TRUE,_xlfn._xlws.FILTER('品种影响'!$P$2:$P$301,('品种影响'!$O$2:$O$301=1)*('品种影响'!$E$2:$E$301=$A6)*('品种影响'!$M$2:$M$301=4),""))</x:f>
      </x:c>
      <x:c r="F6" s="7" t="str">
        <x:f>_xlfn.TEXTJOIN(CHAR(10)&amp;CHAR(10),TRUE,_xlfn._xlws.FILTER('品种影响'!$P$2:$P$301,('品种影响'!$O$2:$O$301=1)*('品种影响'!$E$2:$E$301=$A6)*('品种影响'!$M$2:$M$301=0),""))</x:f>
      </x:c>
    </x:row>
    <x:row r="7" ht="44" customHeight="1">
      <x:c r="A7" s="24" t="str">
        <x:v>供给</x:v>
      </x:c>
      <x:c r="B7" s="7" t="str">
        <x:f>_xlfn.TEXTJOIN(CHAR(10)&amp;CHAR(10),TRUE,_xlfn._xlws.FILTER('品种影响'!$P$2:$P$301,('品种影响'!$O$2:$O$301=1)*('品种影响'!$E$2:$E$301=$A7)*('品种影响'!$M$2:$M$301=1),""))</x:f>
      </x:c>
      <x:c r="C7" s="7" t="str">
        <x:f>_xlfn.TEXTJOIN(CHAR(10)&amp;CHAR(10),TRUE,_xlfn._xlws.FILTER('品种影响'!$P$2:$P$301,('品种影响'!$O$2:$O$301=1)*('品种影响'!$E$2:$E$301=$A7)*('品种影响'!$M$2:$M$301=2),""))</x:f>
        <x:v>徐大堡3号机组完成热试【已发生】
辽宁：调试节点推进，尚不能增加实际供给预测值</x:v>
      </x:c>
      <x:c r="D7" s="7" t="str">
        <x:f>_xlfn.TEXTJOIN(CHAR(10)&amp;CHAR(10),TRUE,_xlfn._xlws.FILTER('品种影响'!$P$2:$P$301,('品种影响'!$O$2:$O$301=1)*('品种影响'!$E$2:$E$301=$A7)*('品种影响'!$M$2:$M$301=3),""))</x:f>
        <x:v>全国9月100米月均风速略低于常年【已发生】
全国：月均风速略低于常年，发电影响仍需区域验证</x:v>
      </x:c>
      <x:c r="E7" s="7" t="str">
        <x:f>_xlfn.TEXTJOIN(CHAR(10)&amp;CHAR(10),TRUE,_xlfn._xlws.FILTER('品种影响'!$P$2:$P$301,('品种影响'!$O$2:$O$301=1)*('品种影响'!$E$2:$E$301=$A7)*('品种影响'!$M$2:$M$301=4),""))</x:f>
        <x:v>徐大堡3号完成运行许可前综合检查【已发生】
辽宁：许可前检查完成，仍需跟踪许可及发电节点</x:v>
      </x:c>
      <x:c r="F7" s="7" t="str">
        <x:f>_xlfn.TEXTJOIN(CHAR(10)&amp;CHAR(10),TRUE,_xlfn._xlws.FILTER('品种影响'!$P$2:$P$301,('品种影响'!$O$2:$O$301=1)*('品种影响'!$E$2:$E$301=$A7)*('品种影响'!$M$2:$M$301=0),""))</x:f>
      </x:c>
    </x:row>
    <x:row r="8" ht="44" customHeight="1">
      <x:c r="A8" s="24" t="str">
        <x:v>需求</x:v>
      </x:c>
      <x:c r="B8" s="7" t="str">
        <x:f>_xlfn.TEXTJOIN(CHAR(10)&amp;CHAR(10),TRUE,_xlfn._xlws.FILTER('品种影响'!$P$2:$P$301,('品种影响'!$O$2:$O$301=1)*('品种影响'!$E$2:$E$301=$A8)*('品种影响'!$M$2:$M$301=1),""))</x:f>
      </x:c>
      <x:c r="C8" s="7" t="str">
        <x:f>_xlfn.TEXTJOIN(CHAR(10)&amp;CHAR(10),TRUE,_xlfn._xlws.FILTER('品种影响'!$P$2:$P$301,('品种影响'!$O$2:$O$301=1)*('品种影响'!$E$2:$E$301=$A8)*('品种影响'!$M$2:$M$301=2),""))</x:f>
      </x:c>
      <x:c r="D8" s="7" t="str">
        <x:f>_xlfn.TEXTJOIN(CHAR(10)&amp;CHAR(10),TRUE,_xlfn._xlws.FILTER('品种影响'!$P$2:$P$301,('品种影响'!$O$2:$O$301=1)*('品种影响'!$E$2:$E$301=$A8)*('品种影响'!$M$2:$M$301=3),""))</x:f>
      </x:c>
      <x:c r="E8" s="7" t="str">
        <x:f>_xlfn.TEXTJOIN(CHAR(10)&amp;CHAR(10),TRUE,_xlfn._xlws.FILTER('品种影响'!$P$2:$P$301,('品种影响'!$O$2:$O$301=1)*('品种影响'!$E$2:$E$301=$A8)*('品种影响'!$M$2:$M$301=4),""))</x:f>
      </x:c>
      <x:c r="F8" s="7" t="str">
        <x:f>_xlfn.TEXTJOIN(CHAR(10)&amp;CHAR(10),TRUE,_xlfn._xlws.FILTER('品种影响'!$P$2:$P$301,('品种影响'!$O$2:$O$301=1)*('品种影响'!$E$2:$E$301=$A8)*('品种影响'!$M$2:$M$301=0),""))</x:f>
      </x:c>
    </x:row>
    <x:row r="9" ht="100" customHeight="1">
      <x:c r="A9" s="24" t="str">
        <x:v>输电与调节</x:v>
      </x:c>
      <x:c r="B9" s="7" t="str">
        <x:f>_xlfn.TEXTJOIN(CHAR(10)&amp;CHAR(10),TRUE,_xlfn._xlws.FILTER('品种影响'!$P$2:$P$301,('品种影响'!$O$2:$O$301=1)*('品种影响'!$E$2:$E$301=$A9)*('品种影响'!$M$2:$M$301=1),""))</x:f>
      </x:c>
      <x:c r="C9" s="7" t="str">
        <x:f>_xlfn.TEXTJOIN(CHAR(10)&amp;CHAR(10),TRUE,_xlfn._xlws.FILTER('品种影响'!$P$2:$P$301,('品种影响'!$O$2:$O$301=1)*('品种影响'!$E$2:$E$301=$A9)*('品种影响'!$M$2:$M$301=2),""))</x:f>
        <x:v>徐大堡一期送出工程成功送电【已发生】
辽宁：并网送出条件改善，当前节点用于设备调试</x:v>
      </x:c>
      <x:c r="D9" s="7" t="str">
        <x:f>_xlfn.TEXTJOIN(CHAR(10)&amp;CHAR(10),TRUE,_xlfn._xlws.FILTER('品种影响'!$P$2:$P$301,('品种影响'!$O$2:$O$301=1)*('品种影响'!$E$2:$E$301=$A9)*('品种影响'!$M$2:$M$301=3),""))</x:f>
      </x:c>
      <x:c r="E9" s="7" t="str">
        <x:f>_xlfn.TEXTJOIN(CHAR(10)&amp;CHAR(10),TRUE,_xlfn._xlws.FILTER('品种影响'!$P$2:$P$301,('品种影响'!$O$2:$O$301=1)*('品种影响'!$E$2:$E$301=$A9)*('品种影响'!$M$2:$M$301=4),""))</x:f>
      </x:c>
      <x:c r="F9" s="7" t="str">
        <x:f>_xlfn.TEXTJOIN(CHAR(10)&amp;CHAR(10),TRUE,_xlfn._xlws.FILTER('品种影响'!$P$2:$P$301,('品种影响'!$O$2:$O$301=1)*('品种影响'!$E$2:$E$301=$A9)*('品种影响'!$M$2:$M$301=0),""))</x:f>
      </x:c>
    </x:row>
    <x:row r="10" ht="44" customHeight="1">
      <x:c r="A10" s="24" t="str">
        <x:v>制度与价格</x:v>
      </x:c>
      <x:c r="B10" s="7" t="str">
        <x:f>_xlfn.TEXTJOIN(CHAR(10)&amp;CHAR(10),TRUE,_xlfn._xlws.FILTER('品种影响'!$P$2:$P$301,('品种影响'!$O$2:$O$301=1)*('品种影响'!$E$2:$E$301=$A10)*('品种影响'!$M$2:$M$301=1),""))</x:f>
      </x:c>
      <x:c r="C10" s="7" t="str">
        <x:f>_xlfn.TEXTJOIN(CHAR(10)&amp;CHAR(10),TRUE,_xlfn._xlws.FILTER('品种影响'!$P$2:$P$301,('品种影响'!$O$2:$O$301=1)*('品种影响'!$E$2:$E$301=$A10)*('品种影响'!$M$2:$M$301=2),""))</x:f>
      </x:c>
      <x:c r="D10" s="7" t="str">
        <x:f>_xlfn.TEXTJOIN(CHAR(10)&amp;CHAR(10),TRUE,_xlfn._xlws.FILTER('品种影响'!$P$2:$P$301,('品种影响'!$O$2:$O$301=1)*('品种影响'!$E$2:$E$301=$A10)*('品种影响'!$M$2:$M$301=3),""))</x:f>
      </x:c>
      <x:c r="E10" s="7" t="str">
        <x:f>_xlfn.TEXTJOIN(CHAR(10)&amp;CHAR(10),TRUE,_xlfn._xlws.FILTER('品种影响'!$P$2:$P$301,('品种影响'!$O$2:$O$301=1)*('品种影响'!$E$2:$E$301=$A10)*('品种影响'!$M$2:$M$301=4),""))</x:f>
      </x:c>
      <x:c r="F10" s="7" t="str">
        <x:f>_xlfn.TEXTJOIN(CHAR(10)&amp;CHAR(10),TRUE,_xlfn._xlws.FILTER('品种影响'!$P$2:$P$301,('品种影响'!$O$2:$O$301=1)*('品种影响'!$E$2:$E$301=$A10)*('品种影响'!$M$2:$M$301=0),""))</x:f>
      </x:c>
    </x:row>
    <x:row r="11">
      <x:c r="A11" s="1"/>
      <x:c r="B11" s="1"/>
      <x:c r="C11" s="1"/>
      <x:c r="D11" s="1"/>
      <x:c r="E11" s="1"/>
      <x:c r="F11" s="1"/>
    </x:row>
    <x:row r="12">
      <x:c r="A12" s="1"/>
      <x:c r="B12" s="1"/>
      <x:c r="C12" s="1"/>
      <x:c r="D12" s="1"/>
      <x:c r="E12" s="1"/>
      <x:c r="F12" s="1"/>
    </x:row>
    <x:row r="13">
      <x:c r="A13" s="1" t="str">
        <x:v>编辑入口</x:v>
      </x:c>
      <x:c r="B13" s="1" t="str">
        <x:v>共享事件填写事实，品种影响填写判断。</x:v>
      </x:c>
      <x:c r="C13" s="1"/>
      <x:c r="D13" s="1"/>
      <x:c r="E13" s="1"/>
      <x:c r="F13" s="1"/>
    </x:row>
    <x:row r="14">
      <x:c r="A14" s="1" t="str">
        <x:v>时间口径</x:v>
      </x:c>
      <x:c r="B14" s="1" t="str">
        <x:v>自然季度；年度计划放在年内待定。空白表示尚未录入。</x:v>
      </x:c>
      <x:c r="C14" s="1"/>
      <x:c r="D14" s="1"/>
      <x:c r="E14" s="1"/>
      <x:c r="F14" s="1"/>
    </x:row>
    <x:row r="15">
      <x:c r="A15" s="1" t="str">
        <x:v>地区口径</x:v>
      </x:c>
      <x:c r="B15" s="1" t="str">
        <x:v>具体地区同时显示全国与全球背景；全国数值不等于省级数值。</x:v>
      </x:c>
      <x:c r="C15" s="1"/>
      <x:c r="D15" s="1"/>
      <x:c r="E15" s="1"/>
      <x:c r="F15" s="1"/>
    </x:row>
    <x:row r="16">
      <x:c r="A16" s="1" t="str">
        <x:v>事件状态</x:v>
      </x:c>
      <x:c r="B16" s="1" t="str">
        <x:v>计划、预测与已发生分开。判断及成立条件见品种影响。</x:v>
      </x:c>
      <x:c r="C16" s="1"/>
      <x:c r="D16" s="1"/>
      <x:c r="E16" s="1"/>
      <x:c r="F16" s="1"/>
    </x:row>
    <x:row r="17">
      <x:c r="A17" s="1" t="str">
        <x:v>研究范围</x:v>
      </x:c>
      <x:c r="B17" s="1" t="str">
        <x:v>供给、需求、调节、价格机制与宏观气候见电力研究维度。</x:v>
      </x:c>
      <x:c r="C17" s="1"/>
      <x:c r="D17" s="1"/>
      <x:c r="E17" s="1"/>
      <x:c r="F17" s="1"/>
    </x:row>
    <x:row r="18">
      <x:c r="A18" s="1" t="str">
        <x:v>编辑容量</x:v>
      </x:c>
      <x:c r="B18" s="1" t="str">
        <x:v>输入预留至第301行；新增行沿用已有列和公式。</x:v>
      </x:c>
      <x:c r="C18" s="1"/>
      <x:c r="D18" s="1"/>
      <x:c r="E18" s="1"/>
      <x:c r="F18" s="1"/>
    </x:row>
  </x:sheetData>
  <x:dataValidations count="3">
    <x:dataValidation type="whole" operator="between" sqref="B3">
      <x:formula1>1900</x:formula1>
      <x:formula2>2200</x:formula2>
    </x:dataValidation>
    <x:dataValidation type="list" sqref="D3">
      <x:formula1>"电力,动力煤,甲醇,原油"</x:formula1>
    </x:dataValidation>
    <x:dataValidation type="list" sqref="F3">
      <x:formula1>"全部,全国,辽宁,甘肃,山东,川渝,广东"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31" hidden="0" customWidth="1"/>
    <x:col min="3" max="3" width="8" hidden="0" customWidth="1"/>
    <x:col min="4" max="4" width="8" hidden="0" customWidth="1"/>
    <x:col min="5" max="5" width="12" hidden="0" customWidth="1"/>
    <x:col min="6" max="6" width="23" hidden="0" customWidth="1"/>
    <x:col min="7" max="7" width="10" hidden="0" customWidth="1"/>
    <x:col min="8" max="8" width="13" hidden="0" customWidth="1"/>
    <x:col min="9" max="9" width="10" hidden="0" customWidth="1"/>
    <x:col min="10" max="10" width="64" hidden="0" customWidth="1"/>
    <x:col min="11" max="11" width="13" hidden="0" customWidth="1"/>
    <x:col min="12" max="12" width="27" hidden="0" customWidth="1"/>
    <x:col min="13" max="13" width="28" hidden="0" customWidth="1"/>
  </x:cols>
  <x:sheetData>
    <x:row r="1">
      <x:c r="A1" s="5" t="str">
        <x:v>事件ID</x:v>
      </x:c>
      <x:c r="B1" s="5" t="str">
        <x:v>事件</x:v>
      </x:c>
      <x:c r="C1" s="5" t="str">
        <x:v>年份</x:v>
      </x:c>
      <x:c r="D1" s="5" t="str">
        <x:v>季度</x:v>
      </x:c>
      <x:c r="E1" s="5" t="str">
        <x:v>确切日期</x:v>
      </x:c>
      <x:c r="F1" s="5" t="str">
        <x:v>时间窗口</x:v>
      </x:c>
      <x:c r="G1" s="5" t="str">
        <x:v>事件状态</x:v>
      </x:c>
      <x:c r="H1" s="5" t="str">
        <x:v>发生地区</x:v>
      </x:c>
      <x:c r="I1" s="5" t="str">
        <x:v>类别</x:v>
      </x:c>
      <x:c r="J1" s="5" t="str">
        <x:v>事件事实</x:v>
      </x:c>
      <x:c r="K1" s="5" t="str">
        <x:v>来源发布日期</x:v>
      </x:c>
      <x:c r="L1" s="5" t="str">
        <x:v>来源</x:v>
      </x:c>
      <x:c r="M1" s="5" t="str">
        <x:v>来源链接</x:v>
      </x:c>
    </x:row>
    <x:row r="2" ht="30" customHeight="1">
      <x:c r="A2" s="25" t="str">
        <x:v>E001</x:v>
      </x:c>
      <x:c r="B2" s="25" t="str">
        <x:v>广东煤价大幅上涨</x:v>
      </x:c>
      <x:c r="C2" s="26" t="n">
        <x:v>2021</x:v>
      </x:c>
      <x:c r="D2" s="26" t="n">
        <x:v>4</x:v>
      </x:c>
      <x:c r="E2" s="27"/>
      <x:c r="F2" s="25" t="str">
        <x:v>2021年10月</x:v>
      </x:c>
      <x:c r="G2" s="25" t="str">
        <x:v>已发生</x:v>
      </x:c>
      <x:c r="H2" s="25" t="str">
        <x:v>广东</x:v>
      </x:c>
      <x:c r="I2" s="25" t="str">
        <x:v>燃料</x:v>
      </x:c>
      <x:c r="J2" s="25" t="str">
        <x:v>广东省商务厅监测的全省煤炭均价为2011.5元/吨，环比上涨50.6%。该指标包含不同煤种，不能直接代作电厂到厂动力煤价。</x:v>
      </x:c>
      <x:c r="K2" s="27" t="d">
        <x:v>2021-11-19T00:00:00.000Z</x:v>
      </x:c>
      <x:c r="L2" s="25" t="str">
        <x:v>广东省商务厅</x:v>
      </x:c>
      <x:c r="M2" s="28" t="str">
        <x:v>https://cif.mofcom.gov.cn/newsite/html/guangdong/html/687020/2021/11/19/1637311194131.html</x:v>
      </x:c>
    </x:row>
    <x:row r="3" ht="30" customHeight="1">
      <x:c r="A3" s="25" t="str">
        <x:v>E002</x:v>
      </x:c>
      <x:c r="B3" s="25" t="str">
        <x:v>燃煤上网电价浮动范围调整</x:v>
      </x:c>
      <x:c r="C3" s="26" t="n">
        <x:v>2021</x:v>
      </x:c>
      <x:c r="D3" s="26" t="n">
        <x:v>4</x:v>
      </x:c>
      <x:c r="E3" s="27" t="d">
        <x:v>2021-10-15T00:00:00.000Z</x:v>
      </x:c>
      <x:c r="F3" s="25" t="str">
        <x:v>2021-10-15起</x:v>
      </x:c>
      <x:c r="G3" s="25" t="str">
        <x:v>已发生</x:v>
      </x:c>
      <x:c r="H3" s="25" t="str">
        <x:v>全国</x:v>
      </x:c>
      <x:c r="I3" s="25" t="str">
        <x:v>政策</x:v>
      </x:c>
      <x:c r="J3" s="25" t="str">
        <x:v>发改价格〔2021〕1439号自10月15日起实施，燃煤发电市场交易价格浮动范围原则上扩大至上下20%，高耗能企业不受上浮20%限制。</x:v>
      </x:c>
      <x:c r="K3" s="27" t="d">
        <x:v>2021-10-27T00:00:00.000Z</x:v>
      </x:c>
      <x:c r="L3" s="25" t="str">
        <x:v>国家发展改革委</x:v>
      </x:c>
      <x:c r="M3" s="28" t="str">
        <x:v>https://www.ndrc.gov.cn/xwdt/gdzt/jgjzgg/zcjd/202110/t20211027_1301157.html</x:v>
      </x:c>
    </x:row>
    <x:row r="4" ht="30" customHeight="1">
      <x:c r="A4" s="25" t="str">
        <x:v>E003</x:v>
      </x:c>
      <x:c r="B4" s="25" t="str">
        <x:v>川渝高温干旱与水电减出力</x:v>
      </x:c>
      <x:c r="C4" s="26" t="n">
        <x:v>2022</x:v>
      </x:c>
      <x:c r="D4" s="26" t="n">
        <x:v>3</x:v>
      </x:c>
      <x:c r="E4" s="27"/>
      <x:c r="F4" s="25" t="str">
        <x:v>2022年8月</x:v>
      </x:c>
      <x:c r="G4" s="25" t="str">
        <x:v>已发生</x:v>
      </x:c>
      <x:c r="H4" s="25" t="str">
        <x:v>川渝</x:v>
      </x:c>
      <x:c r="I4" s="25" t="str">
        <x:v>气象</x:v>
      </x:c>
      <x:c r="J4" s="25" t="str">
        <x:v>华中能源监管局披露，8月上旬以来川渝持续高温干旱，区域水电发电能力下降五成以上，用电需求大幅增长。</x:v>
      </x:c>
      <x:c r="K4" s="27" t="d">
        <x:v>2022-08-22T00:00:00.000Z</x:v>
      </x:c>
      <x:c r="L4" s="25" t="str">
        <x:v>华中能源监管局</x:v>
      </x:c>
      <x:c r="M4" s="28" t="str">
        <x:v>https://hzj.nea.gov.cn/dtyw/jgdt/202310/t20231021_165095.html</x:v>
      </x:c>
    </x:row>
    <x:row r="5" ht="30" customHeight="1">
      <x:c r="A5" s="25" t="str">
        <x:v>E004</x:v>
      </x:c>
      <x:c r="B5" s="25" t="str">
        <x:v>WMO宣布厄尔尼诺条件形成</x:v>
      </x:c>
      <x:c r="C5" s="26" t="n">
        <x:v>2023</x:v>
      </x:c>
      <x:c r="D5" s="26" t="n">
        <x:v>3</x:v>
      </x:c>
      <x:c r="E5" s="27" t="d">
        <x:v>2023-07-04T00:00:00.000Z</x:v>
      </x:c>
      <x:c r="F5" s="25" t="str">
        <x:v>2023-07-04公告</x:v>
      </x:c>
      <x:c r="G5" s="25" t="str">
        <x:v>已发生</x:v>
      </x:c>
      <x:c r="H5" s="25" t="str">
        <x:v>全球</x:v>
      </x:c>
      <x:c r="I5" s="25" t="str">
        <x:v>气候</x:v>
      </x:c>
      <x:c r="J5" s="25" t="str">
        <x:v>世界气象组织宣布热带太平洋形成厄尔尼诺条件。区域温度、降水及电力影响仍需结合当地观测判断。</x:v>
      </x:c>
      <x:c r="K5" s="27" t="d">
        <x:v>2023-07-04T00:00:00.000Z</x:v>
      </x:c>
      <x:c r="L5" s="25" t="str">
        <x:v>世界气象组织</x:v>
      </x:c>
      <x:c r="M5" s="28" t="str">
        <x:v>https://public.wmo.int/news/media-centre/world-meteorological-organization-declares-onset-of-el-nino-conditions</x:v>
      </x:c>
    </x:row>
    <x:row r="6">
      <x:c r="A6" s="25" t="str">
        <x:v>E005</x:v>
      </x:c>
      <x:c r="B6" s="25" t="str">
        <x:v>美联储降息50个基点</x:v>
      </x:c>
      <x:c r="C6" s="26" t="n">
        <x:v>2024</x:v>
      </x:c>
      <x:c r="D6" s="26" t="n">
        <x:v>3</x:v>
      </x:c>
      <x:c r="E6" s="27" t="d">
        <x:v>2024-09-18T00:00:00.000Z</x:v>
      </x:c>
      <x:c r="F6" s="25" t="str">
        <x:v>2024-09-18决议</x:v>
      </x:c>
      <x:c r="G6" s="25" t="str">
        <x:v>已发生</x:v>
      </x:c>
      <x:c r="H6" s="25" t="str">
        <x:v>全球</x:v>
      </x:c>
      <x:c r="I6" s="25" t="str">
        <x:v>宏观</x:v>
      </x:c>
      <x:c r="J6" s="25" t="str">
        <x:v>FOMC将联邦基金利率目标区间下调50个基点至4.75%—5.00%。</x:v>
      </x:c>
      <x:c r="K6" s="27" t="d">
        <x:v>2024-09-18T00:00:00.000Z</x:v>
      </x:c>
      <x:c r="L6" s="25" t="str">
        <x:v>美国联邦储备委员会</x:v>
      </x:c>
      <x:c r="M6" s="28" t="str">
        <x:v>https://www.federalreserve.gov/newsevents/pressreleases/monetary20240918a.htm</x:v>
      </x:c>
    </x:row>
    <x:row r="7" ht="30" customHeight="1">
      <x:c r="A7" s="25" t="str">
        <x:v>E006</x:v>
      </x:c>
      <x:c r="B7" s="25" t="str">
        <x:v>陇东至山东直流具备正式投运条件</x:v>
      </x:c>
      <x:c r="C7" s="26" t="n">
        <x:v>2025</x:v>
      </x:c>
      <x:c r="D7" s="26" t="n">
        <x:v>2</x:v>
      </x:c>
      <x:c r="E7" s="27" t="d">
        <x:v>2025-05-05T00:00:00.000Z</x:v>
      </x:c>
      <x:c r="F7" s="25" t="str">
        <x:v>2025-05-05</x:v>
      </x:c>
      <x:c r="G7" s="25" t="str">
        <x:v>已发生</x:v>
      </x:c>
      <x:c r="H7" s="25" t="str">
        <x:v>甘肃—山东</x:v>
      </x:c>
      <x:c r="I7" s="25" t="str">
        <x:v>电网</x:v>
      </x:c>
      <x:c r="J7" s="25" t="str">
        <x:v>济宁市能源局转引报道，陇东至山东±800千伏直流工程完成168小时试运行，具备正式投运条件。通道投运条件与实际送电曲线需分别记录。</x:v>
      </x:c>
      <x:c r="K7" s="27" t="d">
        <x:v>2025-05-09T00:00:00.000Z</x:v>
      </x:c>
      <x:c r="L7" s="25" t="str">
        <x:v>济宁市能源局</x:v>
      </x:c>
      <x:c r="M7" s="28" t="str">
        <x:v>https://nyj.jining.gov.cn/art/2025/5/9/art_4106_2708837.html</x:v>
      </x:c>
    </x:row>
    <x:row r="8" ht="30" customHeight="1">
      <x:c r="A8" s="25" t="str">
        <x:v>E007</x:v>
      </x:c>
      <x:c r="B8" s="25" t="str">
        <x:v>徐大堡3号机组完成热试</x:v>
      </x:c>
      <x:c r="C8" s="26" t="n">
        <x:v>2026</x:v>
      </x:c>
      <x:c r="D8" s="26" t="n">
        <x:v>2</x:v>
      </x:c>
      <x:c r="E8" s="27"/>
      <x:c r="F8" s="25" t="str">
        <x:v>2026年6月</x:v>
      </x:c>
      <x:c r="G8" s="25" t="str">
        <x:v>已发生</x:v>
      </x:c>
      <x:c r="H8" s="25" t="str">
        <x:v>辽宁</x:v>
      </x:c>
      <x:c r="I8" s="25" t="str">
        <x:v>核电</x:v>
      </x:c>
      <x:c r="J8" s="25" t="str">
        <x:v>徐大堡3号机组完成热态性能试验，为装料和并网做准备。热试完成尚不产生新增上网电量。</x:v>
      </x:c>
      <x:c r="K8" s="27" t="d">
        <x:v>2026-07-02T00:00:00.000Z</x:v>
      </x:c>
      <x:c r="L8" s="25" t="str">
        <x:v>辽宁省政府转载辽宁日报</x:v>
      </x:c>
      <x:c r="M8" s="28" t="str">
        <x:v>https://www.ln.gov.cn/web/qmzx/yhyshjzt/dt/2026070209350518857/index.shtml</x:v>
      </x:c>
    </x:row>
    <x:row r="9" ht="30" customHeight="1">
      <x:c r="A9" s="25" t="str">
        <x:v>E008</x:v>
      </x:c>
      <x:c r="B9" s="25" t="str">
        <x:v>徐大堡一期送出工程成功送电</x:v>
      </x:c>
      <x:c r="C9" s="26" t="n">
        <x:v>2026</x:v>
      </x:c>
      <x:c r="D9" s="26" t="n">
        <x:v>2</x:v>
      </x:c>
      <x:c r="E9" s="27" t="d">
        <x:v>2026-06-30T00:00:00.000Z</x:v>
      </x:c>
      <x:c r="F9" s="25" t="str">
        <x:v>2026-06-30</x:v>
      </x:c>
      <x:c r="G9" s="25" t="str">
        <x:v>已发生</x:v>
      </x:c>
      <x:c r="H9" s="25" t="str">
        <x:v>辽宁</x:v>
      </x:c>
      <x:c r="I9" s="25" t="str">
        <x:v>电网</x:v>
      </x:c>
      <x:c r="J9" s="25" t="str">
        <x:v>500千伏送出工程一期全线成功送电。报道说明当时机组尚未发电，线路反送电服务设备调试。</x:v>
      </x:c>
      <x:c r="K9" s="27" t="d">
        <x:v>2026-07-02T00:00:00.000Z</x:v>
      </x:c>
      <x:c r="L9" s="25" t="str">
        <x:v>辽宁省政府转载辽宁日报</x:v>
      </x:c>
      <x:c r="M9" s="28" t="str">
        <x:v>https://www.ln.gov.cn/web/qmzx/yhyshjzt/dt/2026070209350518857/index.shtml</x:v>
      </x:c>
    </x:row>
    <x:row r="10" ht="30" customHeight="1">
      <x:c r="A10" s="25" t="str">
        <x:v>E009</x:v>
      </x:c>
      <x:c r="B10" s="25" t="str">
        <x:v>徐大堡3号完成运行许可前综合检查</x:v>
      </x:c>
      <x:c r="C10" s="26" t="n">
        <x:v>2026</x:v>
      </x:c>
      <x:c r="D10" s="26" t="n">
        <x:v>4</x:v>
      </x:c>
      <x:c r="E10" s="27"/>
      <x:c r="F10" s="25" t="str">
        <x:v>2026-10-09至10-13</x:v>
      </x:c>
      <x:c r="G10" s="25" t="str">
        <x:v>已发生</x:v>
      </x:c>
      <x:c r="H10" s="25" t="str">
        <x:v>辽宁</x:v>
      </x:c>
      <x:c r="I10" s="25" t="str">
        <x:v>核电</x:v>
      </x:c>
      <x:c r="J10" s="25" t="str">
        <x:v>国家核安全局组织运行许可证颁发前综合检查并印发检查报告。该节点本身不等于运行许可证已颁发、并网或商运。</x:v>
      </x:c>
      <x:c r="K10" s="27" t="d">
        <x:v>2026-10-21T00:00:00.000Z</x:v>
      </x:c>
      <x:c r="L10" s="25" t="str">
        <x:v>国家核安全局</x:v>
      </x:c>
      <x:c r="M10" s="28" t="str">
        <x:v>https://www.mee.gov.cn/xxgk2018/xxgk/xxgk07/202610/t20261021_1184099.html</x:v>
      </x:c>
    </x:row>
    <x:row r="11" ht="30" customHeight="1">
      <x:c r="A11" s="25" t="str">
        <x:v>E010</x:v>
      </x:c>
      <x:c r="B11" s="25" t="str">
        <x:v>徐大堡3号机组计划建成</x:v>
      </x:c>
      <x:c r="C11" s="26" t="n">
        <x:v>2027</x:v>
      </x:c>
      <x:c r="D11" s="26" t="n">
        <x:v>0</x:v>
      </x:c>
      <x:c r="E11" s="27"/>
      <x:c r="F11" s="25" t="str">
        <x:v>2027年，季度未定</x:v>
      </x:c>
      <x:c r="G11" s="25" t="str">
        <x:v>计划</x:v>
      </x:c>
      <x:c r="H11" s="25" t="str">
        <x:v>辽宁</x:v>
      </x:c>
      <x:c r="I11" s="25" t="str">
        <x:v>核电</x:v>
      </x:c>
      <x:c r="J11" s="25" t="str">
        <x:v>辽宁省发展改革委2025年12月答复列示3号机组预计2027年建成。这里只录入年度计划，首次并网、商运日期分别跟踪。</x:v>
      </x:c>
      <x:c r="K11" s="27" t="d">
        <x:v>2025-12-03T00:00:00.000Z</x:v>
      </x:c>
      <x:c r="L11" s="25" t="str">
        <x:v>辽宁省发展改革委</x:v>
      </x:c>
      <x:c r="M11" s="28" t="str">
        <x:v>https://fgw.ln.gov.cn/fgw/zfxxgk/fdzdgknr/jyta/szxta/szxssjschy2025n/2025120317225483462/index.shtml</x:v>
      </x:c>
    </x:row>
    <x:row r="12" ht="30" customHeight="1">
      <x:c r="A12" s="25" t="str">
        <x:v>E011</x:v>
      </x:c>
      <x:c r="B12" s="25" t="str">
        <x:v>徐大堡4号机组计划建成</x:v>
      </x:c>
      <x:c r="C12" s="26" t="n">
        <x:v>2028</x:v>
      </x:c>
      <x:c r="D12" s="26" t="n">
        <x:v>0</x:v>
      </x:c>
      <x:c r="E12" s="27"/>
      <x:c r="F12" s="25" t="str">
        <x:v>2028年，季度未定</x:v>
      </x:c>
      <x:c r="G12" s="25" t="str">
        <x:v>计划</x:v>
      </x:c>
      <x:c r="H12" s="25" t="str">
        <x:v>辽宁</x:v>
      </x:c>
      <x:c r="I12" s="25" t="str">
        <x:v>核电</x:v>
      </x:c>
      <x:c r="J12" s="25" t="str">
        <x:v>辽宁省发展改革委2025年12月答复列示4号机组预计2028年建成。这里只录入年度计划，不作为2027年初新增电量。</x:v>
      </x:c>
      <x:c r="K12" s="27" t="d">
        <x:v>2025-12-03T00:00:00.000Z</x:v>
      </x:c>
      <x:c r="L12" s="25" t="str">
        <x:v>辽宁省发展改革委</x:v>
      </x:c>
      <x:c r="M12" s="28" t="str">
        <x:v>https://fgw.ln.gov.cn/fgw/zfxxgk/fdzdgknr/jyta/szxta/szxssjschy2025n/2025120317225483462/index.shtml</x:v>
      </x:c>
    </x:row>
    <x:row r="13" ht="30" customHeight="1">
      <x:c r="A13" s="25" t="str">
        <x:v>E012</x:v>
      </x:c>
      <x:c r="B13" s="25" t="str">
        <x:v>全国9月100米月均风速略低于常年</x:v>
      </x:c>
      <x:c r="C13" s="26" t="n">
        <x:v>2026</x:v>
      </x:c>
      <x:c r="D13" s="26" t="n">
        <x:v>3</x:v>
      </x:c>
      <x:c r="E13" s="27"/>
      <x:c r="F13" s="25" t="str">
        <x:v>2026年9月</x:v>
      </x:c>
      <x:c r="G13" s="25" t="str">
        <x:v>已发生</x:v>
      </x:c>
      <x:c r="H13" s="25" t="str">
        <x:v>全国</x:v>
      </x:c>
      <x:c r="I13" s="25" t="str">
        <x:v>气象</x:v>
      </x:c>
      <x:c r="J13" s="25" t="str">
        <x:v>PowerCurve月报显示全国100米月均风速3.727米/秒，较1995—2024同月均值低0.25个标准差。该指标为ERA5再分析月均与标准化距平，非风速同比。</x:v>
      </x:c>
      <x:c r="K13" s="27"/>
      <x:c r="L13" s="25" t="str">
        <x:v>PowerCurve气象月报（ERA5再分析）</x:v>
      </x:c>
      <x:c r="M13" s="28" t="str">
        <x:v>https://powercurve.cn/#weather</x:v>
      </x:c>
    </x:row>
    <x:row r="14">
      <x:c r="A14"/>
      <x:c r="B14"/>
      <x:c r="C14" s="11"/>
      <x:c r="D14" s="11"/>
      <x:c r="E14" s="9"/>
      <x:c r="F14"/>
      <x:c r="G14"/>
      <x:c r="H14"/>
      <x:c r="I14"/>
      <x:c r="J14"/>
      <x:c r="K14" s="9"/>
      <x:c r="L14"/>
      <x:c r="M14"/>
    </x:row>
    <x:row r="15">
      <x:c r="C15" s="11"/>
      <x:c r="D15" s="11"/>
      <x:c r="E15" s="9"/>
      <x:c r="K15" s="9"/>
    </x:row>
    <x:row r="16">
      <x:c r="C16" s="11"/>
      <x:c r="D16" s="11"/>
      <x:c r="E16" s="9"/>
      <x:c r="K16" s="9"/>
    </x:row>
    <x:row r="17">
      <x:c r="C17" s="11"/>
      <x:c r="D17" s="11"/>
      <x:c r="E17" s="9"/>
      <x:c r="K17" s="9"/>
    </x:row>
    <x:row r="18">
      <x:c r="C18" s="11"/>
      <x:c r="D18" s="11"/>
      <x:c r="E18" s="9"/>
      <x:c r="K18" s="9"/>
    </x:row>
    <x:row r="19">
      <x:c r="C19" s="11"/>
      <x:c r="D19" s="11"/>
      <x:c r="E19" s="9"/>
      <x:c r="K19" s="9"/>
    </x:row>
    <x:row r="20">
      <x:c r="C20" s="11"/>
      <x:c r="D20" s="11"/>
      <x:c r="E20" s="9"/>
      <x:c r="K20" s="9"/>
    </x:row>
    <x:row r="21">
      <x:c r="C21" s="11"/>
      <x:c r="D21" s="11"/>
      <x:c r="E21" s="9"/>
      <x:c r="K21" s="9"/>
    </x:row>
    <x:row r="22">
      <x:c r="C22" s="11"/>
      <x:c r="D22" s="11"/>
      <x:c r="E22" s="9"/>
      <x:c r="K22" s="9"/>
    </x:row>
    <x:row r="23">
      <x:c r="C23" s="11"/>
      <x:c r="D23" s="11"/>
      <x:c r="E23" s="9"/>
      <x:c r="K23" s="9"/>
    </x:row>
    <x:row r="24">
      <x:c r="C24" s="11"/>
      <x:c r="D24" s="11"/>
      <x:c r="E24" s="9"/>
      <x:c r="K24" s="9"/>
    </x:row>
    <x:row r="25">
      <x:c r="C25" s="11"/>
      <x:c r="D25" s="11"/>
      <x:c r="E25" s="9"/>
      <x:c r="K25" s="9"/>
    </x:row>
    <x:row r="26">
      <x:c r="C26" s="11"/>
      <x:c r="D26" s="11"/>
      <x:c r="E26" s="9"/>
      <x:c r="K26" s="9"/>
    </x:row>
    <x:row r="27">
      <x:c r="C27" s="11"/>
      <x:c r="D27" s="11"/>
      <x:c r="E27" s="9"/>
      <x:c r="K27" s="9"/>
    </x:row>
    <x:row r="28">
      <x:c r="C28" s="11"/>
      <x:c r="D28" s="11"/>
      <x:c r="E28" s="9"/>
      <x:c r="K28" s="9"/>
    </x:row>
    <x:row r="29">
      <x:c r="C29" s="11"/>
      <x:c r="D29" s="11"/>
      <x:c r="E29" s="9"/>
      <x:c r="K29" s="9"/>
    </x:row>
    <x:row r="30">
      <x:c r="C30" s="11"/>
      <x:c r="D30" s="11"/>
      <x:c r="E30" s="9"/>
      <x:c r="K30" s="9"/>
    </x:row>
    <x:row r="31">
      <x:c r="C31" s="11"/>
      <x:c r="D31" s="11"/>
      <x:c r="E31" s="9"/>
      <x:c r="K31" s="9"/>
    </x:row>
    <x:row r="32">
      <x:c r="C32" s="11"/>
      <x:c r="D32" s="11"/>
      <x:c r="E32" s="9"/>
      <x:c r="K32" s="9"/>
    </x:row>
    <x:row r="33">
      <x:c r="C33" s="11"/>
      <x:c r="D33" s="11"/>
      <x:c r="E33" s="9"/>
      <x:c r="K33" s="9"/>
    </x:row>
    <x:row r="34">
      <x:c r="C34" s="11"/>
      <x:c r="D34" s="11"/>
      <x:c r="E34" s="9"/>
      <x:c r="K34" s="9"/>
    </x:row>
    <x:row r="35">
      <x:c r="C35" s="11"/>
      <x:c r="D35" s="11"/>
      <x:c r="E35" s="9"/>
      <x:c r="K35" s="9"/>
    </x:row>
    <x:row r="36">
      <x:c r="C36" s="11"/>
      <x:c r="D36" s="11"/>
      <x:c r="E36" s="9"/>
      <x:c r="K36" s="9"/>
    </x:row>
    <x:row r="37">
      <x:c r="C37" s="11"/>
      <x:c r="D37" s="11"/>
      <x:c r="E37" s="9"/>
      <x:c r="K37" s="9"/>
    </x:row>
    <x:row r="38">
      <x:c r="C38" s="11"/>
      <x:c r="D38" s="11"/>
      <x:c r="E38" s="9"/>
      <x:c r="K38" s="9"/>
    </x:row>
    <x:row r="39">
      <x:c r="C39" s="11"/>
      <x:c r="D39" s="11"/>
      <x:c r="E39" s="9"/>
      <x:c r="K39" s="9"/>
    </x:row>
    <x:row r="40">
      <x:c r="C40" s="11"/>
      <x:c r="D40" s="11"/>
      <x:c r="E40" s="9"/>
      <x:c r="K40" s="9"/>
    </x:row>
    <x:row r="41">
      <x:c r="C41" s="11"/>
      <x:c r="D41" s="11"/>
      <x:c r="E41" s="9"/>
      <x:c r="K41" s="9"/>
    </x:row>
    <x:row r="42">
      <x:c r="C42" s="11"/>
      <x:c r="D42" s="11"/>
      <x:c r="E42" s="9"/>
      <x:c r="K42" s="9"/>
    </x:row>
    <x:row r="43">
      <x:c r="C43" s="11"/>
      <x:c r="D43" s="11"/>
      <x:c r="E43" s="9"/>
      <x:c r="K43" s="9"/>
    </x:row>
    <x:row r="44">
      <x:c r="C44" s="11"/>
      <x:c r="D44" s="11"/>
      <x:c r="E44" s="9"/>
      <x:c r="K44" s="9"/>
    </x:row>
    <x:row r="45">
      <x:c r="C45" s="11"/>
      <x:c r="D45" s="11"/>
      <x:c r="E45" s="9"/>
      <x:c r="K45" s="9"/>
    </x:row>
    <x:row r="46">
      <x:c r="C46" s="11"/>
      <x:c r="D46" s="11"/>
      <x:c r="E46" s="9"/>
      <x:c r="K46" s="9"/>
    </x:row>
    <x:row r="47">
      <x:c r="C47" s="11"/>
      <x:c r="D47" s="11"/>
      <x:c r="E47" s="9"/>
      <x:c r="K47" s="9"/>
    </x:row>
    <x:row r="48">
      <x:c r="C48" s="11"/>
      <x:c r="D48" s="11"/>
      <x:c r="E48" s="9"/>
      <x:c r="K48" s="9"/>
    </x:row>
    <x:row r="49">
      <x:c r="C49" s="11"/>
      <x:c r="D49" s="11"/>
      <x:c r="E49" s="9"/>
      <x:c r="K49" s="9"/>
    </x:row>
    <x:row r="50">
      <x:c r="C50" s="11"/>
      <x:c r="D50" s="11"/>
      <x:c r="E50" s="9"/>
      <x:c r="K50" s="9"/>
    </x:row>
    <x:row r="51">
      <x:c r="C51" s="11"/>
      <x:c r="D51" s="11"/>
      <x:c r="E51" s="9"/>
      <x:c r="K51" s="9"/>
    </x:row>
    <x:row r="52">
      <x:c r="C52" s="11"/>
      <x:c r="D52" s="11"/>
      <x:c r="E52" s="9"/>
      <x:c r="K52" s="9"/>
    </x:row>
    <x:row r="53">
      <x:c r="C53" s="11"/>
      <x:c r="D53" s="11"/>
      <x:c r="E53" s="9"/>
      <x:c r="K53" s="9"/>
    </x:row>
    <x:row r="54">
      <x:c r="C54" s="11"/>
      <x:c r="D54" s="11"/>
      <x:c r="E54" s="9"/>
      <x:c r="K54" s="9"/>
    </x:row>
    <x:row r="55">
      <x:c r="C55" s="11"/>
      <x:c r="D55" s="11"/>
      <x:c r="E55" s="9"/>
      <x:c r="K55" s="9"/>
    </x:row>
    <x:row r="56">
      <x:c r="C56" s="11"/>
      <x:c r="D56" s="11"/>
      <x:c r="E56" s="9"/>
      <x:c r="K56" s="9"/>
    </x:row>
    <x:row r="57">
      <x:c r="C57" s="11"/>
      <x:c r="D57" s="11"/>
      <x:c r="E57" s="9"/>
      <x:c r="K57" s="9"/>
    </x:row>
    <x:row r="58">
      <x:c r="C58" s="11"/>
      <x:c r="D58" s="11"/>
      <x:c r="E58" s="9"/>
      <x:c r="K58" s="9"/>
    </x:row>
    <x:row r="59">
      <x:c r="C59" s="11"/>
      <x:c r="D59" s="11"/>
      <x:c r="E59" s="9"/>
      <x:c r="K59" s="9"/>
    </x:row>
    <x:row r="60">
      <x:c r="C60" s="11"/>
      <x:c r="D60" s="11"/>
      <x:c r="E60" s="9"/>
      <x:c r="K60" s="9"/>
    </x:row>
    <x:row r="61">
      <x:c r="C61" s="11"/>
      <x:c r="D61" s="11"/>
      <x:c r="E61" s="9"/>
      <x:c r="K61" s="9"/>
    </x:row>
    <x:row r="62">
      <x:c r="C62" s="11"/>
      <x:c r="D62" s="11"/>
      <x:c r="E62" s="9"/>
      <x:c r="K62" s="9"/>
    </x:row>
    <x:row r="63">
      <x:c r="C63" s="11"/>
      <x:c r="D63" s="11"/>
      <x:c r="E63" s="9"/>
      <x:c r="K63" s="9"/>
    </x:row>
    <x:row r="64">
      <x:c r="C64" s="11"/>
      <x:c r="D64" s="11"/>
      <x:c r="E64" s="9"/>
      <x:c r="K64" s="9"/>
    </x:row>
    <x:row r="65">
      <x:c r="C65" s="11"/>
      <x:c r="D65" s="11"/>
      <x:c r="E65" s="9"/>
      <x:c r="K65" s="9"/>
    </x:row>
    <x:row r="66">
      <x:c r="C66" s="11"/>
      <x:c r="D66" s="11"/>
      <x:c r="E66" s="9"/>
      <x:c r="K66" s="9"/>
    </x:row>
    <x:row r="67">
      <x:c r="C67" s="11"/>
      <x:c r="D67" s="11"/>
      <x:c r="E67" s="9"/>
      <x:c r="K67" s="9"/>
    </x:row>
    <x:row r="68">
      <x:c r="C68" s="11"/>
      <x:c r="D68" s="11"/>
      <x:c r="E68" s="9"/>
      <x:c r="K68" s="9"/>
    </x:row>
    <x:row r="69">
      <x:c r="C69" s="11"/>
      <x:c r="D69" s="11"/>
      <x:c r="E69" s="9"/>
      <x:c r="K69" s="9"/>
    </x:row>
    <x:row r="70">
      <x:c r="C70" s="11"/>
      <x:c r="D70" s="11"/>
      <x:c r="E70" s="9"/>
      <x:c r="K70" s="9"/>
    </x:row>
    <x:row r="71">
      <x:c r="C71" s="11"/>
      <x:c r="D71" s="11"/>
      <x:c r="E71" s="9"/>
      <x:c r="K71" s="9"/>
    </x:row>
    <x:row r="72">
      <x:c r="C72" s="11"/>
      <x:c r="D72" s="11"/>
      <x:c r="E72" s="9"/>
      <x:c r="K72" s="9"/>
    </x:row>
    <x:row r="73">
      <x:c r="C73" s="11"/>
      <x:c r="D73" s="11"/>
      <x:c r="E73" s="9"/>
      <x:c r="K73" s="9"/>
    </x:row>
    <x:row r="74">
      <x:c r="C74" s="11"/>
      <x:c r="D74" s="11"/>
      <x:c r="E74" s="9"/>
      <x:c r="K74" s="9"/>
    </x:row>
    <x:row r="75">
      <x:c r="C75" s="11"/>
      <x:c r="D75" s="11"/>
      <x:c r="E75" s="9"/>
      <x:c r="K75" s="9"/>
    </x:row>
    <x:row r="76">
      <x:c r="C76" s="11"/>
      <x:c r="D76" s="11"/>
      <x:c r="E76" s="9"/>
      <x:c r="K76" s="9"/>
    </x:row>
    <x:row r="77">
      <x:c r="C77" s="11"/>
      <x:c r="D77" s="11"/>
      <x:c r="E77" s="9"/>
      <x:c r="K77" s="9"/>
    </x:row>
    <x:row r="78">
      <x:c r="C78" s="11"/>
      <x:c r="D78" s="11"/>
      <x:c r="E78" s="9"/>
      <x:c r="K78" s="9"/>
    </x:row>
    <x:row r="79">
      <x:c r="C79" s="11"/>
      <x:c r="D79" s="11"/>
      <x:c r="E79" s="9"/>
      <x:c r="K79" s="9"/>
    </x:row>
    <x:row r="80">
      <x:c r="C80" s="11"/>
      <x:c r="D80" s="11"/>
      <x:c r="E80" s="9"/>
      <x:c r="K80" s="9"/>
    </x:row>
    <x:row r="81">
      <x:c r="C81" s="11"/>
      <x:c r="D81" s="11"/>
      <x:c r="E81" s="9"/>
      <x:c r="K81" s="9"/>
    </x:row>
    <x:row r="82">
      <x:c r="C82" s="11"/>
      <x:c r="D82" s="11"/>
      <x:c r="E82" s="9"/>
      <x:c r="K82" s="9"/>
    </x:row>
    <x:row r="83">
      <x:c r="C83" s="11"/>
      <x:c r="D83" s="11"/>
      <x:c r="E83" s="9"/>
      <x:c r="K83" s="9"/>
    </x:row>
    <x:row r="84">
      <x:c r="C84" s="11"/>
      <x:c r="D84" s="11"/>
      <x:c r="E84" s="9"/>
      <x:c r="K84" s="9"/>
    </x:row>
    <x:row r="85">
      <x:c r="C85" s="11"/>
      <x:c r="D85" s="11"/>
      <x:c r="E85" s="9"/>
      <x:c r="K85" s="9"/>
    </x:row>
    <x:row r="86">
      <x:c r="C86" s="11"/>
      <x:c r="D86" s="11"/>
      <x:c r="E86" s="9"/>
      <x:c r="K86" s="9"/>
    </x:row>
    <x:row r="87">
      <x:c r="C87" s="11"/>
      <x:c r="D87" s="11"/>
      <x:c r="E87" s="9"/>
      <x:c r="K87" s="9"/>
    </x:row>
    <x:row r="88">
      <x:c r="C88" s="11"/>
      <x:c r="D88" s="11"/>
      <x:c r="E88" s="9"/>
      <x:c r="K88" s="9"/>
    </x:row>
    <x:row r="89">
      <x:c r="C89" s="11"/>
      <x:c r="D89" s="11"/>
      <x:c r="E89" s="9"/>
      <x:c r="K89" s="9"/>
    </x:row>
    <x:row r="90">
      <x:c r="C90" s="11"/>
      <x:c r="D90" s="11"/>
      <x:c r="E90" s="9"/>
      <x:c r="K90" s="9"/>
    </x:row>
    <x:row r="91">
      <x:c r="C91" s="11"/>
      <x:c r="D91" s="11"/>
      <x:c r="E91" s="9"/>
      <x:c r="K91" s="9"/>
    </x:row>
    <x:row r="92">
      <x:c r="C92" s="11"/>
      <x:c r="D92" s="11"/>
      <x:c r="E92" s="9"/>
      <x:c r="K92" s="9"/>
    </x:row>
    <x:row r="93">
      <x:c r="C93" s="11"/>
      <x:c r="D93" s="11"/>
      <x:c r="E93" s="9"/>
      <x:c r="K93" s="9"/>
    </x:row>
    <x:row r="94">
      <x:c r="C94" s="11"/>
      <x:c r="D94" s="11"/>
      <x:c r="E94" s="9"/>
      <x:c r="K94" s="9"/>
    </x:row>
    <x:row r="95">
      <x:c r="C95" s="11"/>
      <x:c r="D95" s="11"/>
      <x:c r="E95" s="9"/>
      <x:c r="K95" s="9"/>
    </x:row>
    <x:row r="96">
      <x:c r="C96" s="11"/>
      <x:c r="D96" s="11"/>
      <x:c r="E96" s="9"/>
      <x:c r="K96" s="9"/>
    </x:row>
    <x:row r="97">
      <x:c r="C97" s="11"/>
      <x:c r="D97" s="11"/>
      <x:c r="E97" s="9"/>
      <x:c r="K97" s="9"/>
    </x:row>
    <x:row r="98">
      <x:c r="C98" s="11"/>
      <x:c r="D98" s="11"/>
      <x:c r="E98" s="9"/>
      <x:c r="K98" s="9"/>
    </x:row>
    <x:row r="99">
      <x:c r="C99" s="11"/>
      <x:c r="D99" s="11"/>
      <x:c r="E99" s="9"/>
      <x:c r="K99" s="9"/>
    </x:row>
    <x:row r="100">
      <x:c r="C100" s="11"/>
      <x:c r="D100" s="11"/>
      <x:c r="E100" s="9"/>
      <x:c r="K100" s="9"/>
    </x:row>
    <x:row r="101">
      <x:c r="C101" s="11"/>
      <x:c r="D101" s="11"/>
      <x:c r="E101" s="9"/>
      <x:c r="K101" s="9"/>
    </x:row>
    <x:row r="102">
      <x:c r="C102" s="11"/>
      <x:c r="D102" s="11"/>
      <x:c r="E102" s="9"/>
      <x:c r="K102" s="9"/>
    </x:row>
    <x:row r="103">
      <x:c r="C103" s="11"/>
      <x:c r="D103" s="11"/>
      <x:c r="E103" s="9"/>
      <x:c r="K103" s="9"/>
    </x:row>
    <x:row r="104">
      <x:c r="C104" s="11"/>
      <x:c r="D104" s="11"/>
      <x:c r="E104" s="9"/>
      <x:c r="K104" s="9"/>
    </x:row>
    <x:row r="105">
      <x:c r="C105" s="11"/>
      <x:c r="D105" s="11"/>
      <x:c r="E105" s="9"/>
      <x:c r="K105" s="9"/>
    </x:row>
    <x:row r="106">
      <x:c r="C106" s="11"/>
      <x:c r="D106" s="11"/>
      <x:c r="E106" s="9"/>
      <x:c r="K106" s="9"/>
    </x:row>
    <x:row r="107">
      <x:c r="C107" s="11"/>
      <x:c r="D107" s="11"/>
      <x:c r="E107" s="9"/>
      <x:c r="K107" s="9"/>
    </x:row>
    <x:row r="108">
      <x:c r="C108" s="11"/>
      <x:c r="D108" s="11"/>
      <x:c r="E108" s="9"/>
      <x:c r="K108" s="9"/>
    </x:row>
    <x:row r="109">
      <x:c r="C109" s="11"/>
      <x:c r="D109" s="11"/>
      <x:c r="E109" s="9"/>
      <x:c r="K109" s="9"/>
    </x:row>
    <x:row r="110">
      <x:c r="C110" s="11"/>
      <x:c r="D110" s="11"/>
      <x:c r="E110" s="9"/>
      <x:c r="K110" s="9"/>
    </x:row>
    <x:row r="111">
      <x:c r="C111" s="11"/>
      <x:c r="D111" s="11"/>
      <x:c r="E111" s="9"/>
      <x:c r="K111" s="9"/>
    </x:row>
    <x:row r="112">
      <x:c r="C112" s="11"/>
      <x:c r="D112" s="11"/>
      <x:c r="E112" s="9"/>
      <x:c r="K112" s="9"/>
    </x:row>
    <x:row r="113">
      <x:c r="C113" s="11"/>
      <x:c r="D113" s="11"/>
      <x:c r="E113" s="9"/>
      <x:c r="K113" s="9"/>
    </x:row>
    <x:row r="114">
      <x:c r="C114" s="11"/>
      <x:c r="D114" s="11"/>
      <x:c r="E114" s="9"/>
      <x:c r="K114" s="9"/>
    </x:row>
    <x:row r="115">
      <x:c r="C115" s="11"/>
      <x:c r="D115" s="11"/>
      <x:c r="E115" s="9"/>
      <x:c r="K115" s="9"/>
    </x:row>
    <x:row r="116">
      <x:c r="C116" s="11"/>
      <x:c r="D116" s="11"/>
      <x:c r="E116" s="9"/>
      <x:c r="K116" s="9"/>
    </x:row>
    <x:row r="117">
      <x:c r="C117" s="11"/>
      <x:c r="D117" s="11"/>
      <x:c r="E117" s="9"/>
      <x:c r="K117" s="9"/>
    </x:row>
    <x:row r="118">
      <x:c r="C118" s="11"/>
      <x:c r="D118" s="11"/>
      <x:c r="E118" s="9"/>
      <x:c r="K118" s="9"/>
    </x:row>
    <x:row r="119">
      <x:c r="C119" s="11"/>
      <x:c r="D119" s="11"/>
      <x:c r="E119" s="9"/>
      <x:c r="K119" s="9"/>
    </x:row>
    <x:row r="120">
      <x:c r="C120" s="11"/>
      <x:c r="D120" s="11"/>
      <x:c r="E120" s="9"/>
      <x:c r="K120" s="9"/>
    </x:row>
    <x:row r="121">
      <x:c r="C121" s="11"/>
      <x:c r="D121" s="11"/>
      <x:c r="E121" s="9"/>
      <x:c r="K121" s="9"/>
    </x:row>
    <x:row r="122">
      <x:c r="C122" s="11"/>
      <x:c r="D122" s="11"/>
      <x:c r="E122" s="9"/>
      <x:c r="K122" s="9"/>
    </x:row>
    <x:row r="123">
      <x:c r="C123" s="11"/>
      <x:c r="D123" s="11"/>
      <x:c r="E123" s="9"/>
      <x:c r="K123" s="9"/>
    </x:row>
    <x:row r="124">
      <x:c r="C124" s="11"/>
      <x:c r="D124" s="11"/>
      <x:c r="E124" s="9"/>
      <x:c r="K124" s="9"/>
    </x:row>
    <x:row r="125">
      <x:c r="C125" s="11"/>
      <x:c r="D125" s="11"/>
      <x:c r="E125" s="9"/>
      <x:c r="K125" s="9"/>
    </x:row>
    <x:row r="126">
      <x:c r="C126" s="11"/>
      <x:c r="D126" s="11"/>
      <x:c r="E126" s="9"/>
      <x:c r="K126" s="9"/>
    </x:row>
    <x:row r="127">
      <x:c r="C127" s="11"/>
      <x:c r="D127" s="11"/>
      <x:c r="E127" s="9"/>
      <x:c r="K127" s="9"/>
    </x:row>
    <x:row r="128">
      <x:c r="C128" s="11"/>
      <x:c r="D128" s="11"/>
      <x:c r="E128" s="9"/>
      <x:c r="K128" s="9"/>
    </x:row>
    <x:row r="129">
      <x:c r="C129" s="11"/>
      <x:c r="D129" s="11"/>
      <x:c r="E129" s="9"/>
      <x:c r="K129" s="9"/>
    </x:row>
    <x:row r="130">
      <x:c r="C130" s="11"/>
      <x:c r="D130" s="11"/>
      <x:c r="E130" s="9"/>
      <x:c r="K130" s="9"/>
    </x:row>
    <x:row r="131">
      <x:c r="C131" s="11"/>
      <x:c r="D131" s="11"/>
      <x:c r="E131" s="9"/>
      <x:c r="K131" s="9"/>
    </x:row>
    <x:row r="132">
      <x:c r="C132" s="11"/>
      <x:c r="D132" s="11"/>
      <x:c r="E132" s="9"/>
      <x:c r="K132" s="9"/>
    </x:row>
    <x:row r="133">
      <x:c r="C133" s="11"/>
      <x:c r="D133" s="11"/>
      <x:c r="E133" s="9"/>
      <x:c r="K133" s="9"/>
    </x:row>
    <x:row r="134">
      <x:c r="C134" s="11"/>
      <x:c r="D134" s="11"/>
      <x:c r="E134" s="9"/>
      <x:c r="K134" s="9"/>
    </x:row>
    <x:row r="135">
      <x:c r="C135" s="11"/>
      <x:c r="D135" s="11"/>
      <x:c r="E135" s="9"/>
      <x:c r="K135" s="9"/>
    </x:row>
    <x:row r="136">
      <x:c r="C136" s="11"/>
      <x:c r="D136" s="11"/>
      <x:c r="E136" s="9"/>
      <x:c r="K136" s="9"/>
    </x:row>
    <x:row r="137">
      <x:c r="C137" s="11"/>
      <x:c r="D137" s="11"/>
      <x:c r="E137" s="9"/>
      <x:c r="K137" s="9"/>
    </x:row>
    <x:row r="138">
      <x:c r="C138" s="11"/>
      <x:c r="D138" s="11"/>
      <x:c r="E138" s="9"/>
      <x:c r="K138" s="9"/>
    </x:row>
    <x:row r="139">
      <x:c r="C139" s="11"/>
      <x:c r="D139" s="11"/>
      <x:c r="E139" s="9"/>
      <x:c r="K139" s="9"/>
    </x:row>
    <x:row r="140">
      <x:c r="C140" s="11"/>
      <x:c r="D140" s="11"/>
      <x:c r="E140" s="9"/>
      <x:c r="K140" s="9"/>
    </x:row>
    <x:row r="141">
      <x:c r="C141" s="11"/>
      <x:c r="D141" s="11"/>
      <x:c r="E141" s="9"/>
      <x:c r="K141" s="9"/>
    </x:row>
    <x:row r="142">
      <x:c r="C142" s="11"/>
      <x:c r="D142" s="11"/>
      <x:c r="E142" s="9"/>
      <x:c r="K142" s="9"/>
    </x:row>
    <x:row r="143">
      <x:c r="C143" s="11"/>
      <x:c r="D143" s="11"/>
      <x:c r="E143" s="9"/>
      <x:c r="K143" s="9"/>
    </x:row>
    <x:row r="144">
      <x:c r="C144" s="11"/>
      <x:c r="D144" s="11"/>
      <x:c r="E144" s="9"/>
      <x:c r="K144" s="9"/>
    </x:row>
    <x:row r="145">
      <x:c r="C145" s="11"/>
      <x:c r="D145" s="11"/>
      <x:c r="E145" s="9"/>
      <x:c r="K145" s="9"/>
    </x:row>
    <x:row r="146">
      <x:c r="C146" s="11"/>
      <x:c r="D146" s="11"/>
      <x:c r="E146" s="9"/>
      <x:c r="K146" s="9"/>
    </x:row>
    <x:row r="147">
      <x:c r="C147" s="11"/>
      <x:c r="D147" s="11"/>
      <x:c r="E147" s="9"/>
      <x:c r="K147" s="9"/>
    </x:row>
    <x:row r="148">
      <x:c r="C148" s="11"/>
      <x:c r="D148" s="11"/>
      <x:c r="E148" s="9"/>
      <x:c r="K148" s="9"/>
    </x:row>
    <x:row r="149">
      <x:c r="C149" s="11"/>
      <x:c r="D149" s="11"/>
      <x:c r="E149" s="9"/>
      <x:c r="K149" s="9"/>
    </x:row>
    <x:row r="150">
      <x:c r="C150" s="11"/>
      <x:c r="D150" s="11"/>
      <x:c r="E150" s="9"/>
      <x:c r="K150" s="9"/>
    </x:row>
    <x:row r="151">
      <x:c r="C151" s="11"/>
      <x:c r="D151" s="11"/>
      <x:c r="E151" s="9"/>
      <x:c r="K151" s="9"/>
    </x:row>
    <x:row r="152">
      <x:c r="C152" s="11"/>
      <x:c r="D152" s="11"/>
      <x:c r="E152" s="9"/>
      <x:c r="K152" s="9"/>
    </x:row>
    <x:row r="153">
      <x:c r="C153" s="11"/>
      <x:c r="D153" s="11"/>
      <x:c r="E153" s="9"/>
      <x:c r="K153" s="9"/>
    </x:row>
    <x:row r="154">
      <x:c r="C154" s="11"/>
      <x:c r="D154" s="11"/>
      <x:c r="E154" s="9"/>
      <x:c r="K154" s="9"/>
    </x:row>
    <x:row r="155">
      <x:c r="C155" s="11"/>
      <x:c r="D155" s="11"/>
      <x:c r="E155" s="9"/>
      <x:c r="K155" s="9"/>
    </x:row>
    <x:row r="156">
      <x:c r="C156" s="11"/>
      <x:c r="D156" s="11"/>
      <x:c r="E156" s="9"/>
      <x:c r="K156" s="9"/>
    </x:row>
    <x:row r="157">
      <x:c r="C157" s="11"/>
      <x:c r="D157" s="11"/>
      <x:c r="E157" s="9"/>
      <x:c r="K157" s="9"/>
    </x:row>
    <x:row r="158">
      <x:c r="C158" s="11"/>
      <x:c r="D158" s="11"/>
      <x:c r="E158" s="9"/>
      <x:c r="K158" s="9"/>
    </x:row>
    <x:row r="159">
      <x:c r="C159" s="11"/>
      <x:c r="D159" s="11"/>
      <x:c r="E159" s="9"/>
      <x:c r="K159" s="9"/>
    </x:row>
    <x:row r="160">
      <x:c r="C160" s="11"/>
      <x:c r="D160" s="11"/>
      <x:c r="E160" s="9"/>
      <x:c r="K160" s="9"/>
    </x:row>
    <x:row r="161">
      <x:c r="C161" s="11"/>
      <x:c r="D161" s="11"/>
      <x:c r="E161" s="9"/>
      <x:c r="K161" s="9"/>
    </x:row>
    <x:row r="162">
      <x:c r="C162" s="11"/>
      <x:c r="D162" s="11"/>
      <x:c r="E162" s="9"/>
      <x:c r="K162" s="9"/>
    </x:row>
    <x:row r="163">
      <x:c r="C163" s="11"/>
      <x:c r="D163" s="11"/>
      <x:c r="E163" s="9"/>
      <x:c r="K163" s="9"/>
    </x:row>
    <x:row r="164">
      <x:c r="C164" s="11"/>
      <x:c r="D164" s="11"/>
      <x:c r="E164" s="9"/>
      <x:c r="K164" s="9"/>
    </x:row>
    <x:row r="165">
      <x:c r="C165" s="11"/>
      <x:c r="D165" s="11"/>
      <x:c r="E165" s="9"/>
      <x:c r="K165" s="9"/>
    </x:row>
    <x:row r="166">
      <x:c r="C166" s="11"/>
      <x:c r="D166" s="11"/>
      <x:c r="E166" s="9"/>
      <x:c r="K166" s="9"/>
    </x:row>
    <x:row r="167">
      <x:c r="C167" s="11"/>
      <x:c r="D167" s="11"/>
      <x:c r="E167" s="9"/>
      <x:c r="K167" s="9"/>
    </x:row>
    <x:row r="168">
      <x:c r="C168" s="11"/>
      <x:c r="D168" s="11"/>
      <x:c r="E168" s="9"/>
      <x:c r="K168" s="9"/>
    </x:row>
    <x:row r="169">
      <x:c r="C169" s="11"/>
      <x:c r="D169" s="11"/>
      <x:c r="E169" s="9"/>
      <x:c r="K169" s="9"/>
    </x:row>
    <x:row r="170">
      <x:c r="C170" s="11"/>
      <x:c r="D170" s="11"/>
      <x:c r="E170" s="9"/>
      <x:c r="K170" s="9"/>
    </x:row>
    <x:row r="171">
      <x:c r="C171" s="11"/>
      <x:c r="D171" s="11"/>
      <x:c r="E171" s="9"/>
      <x:c r="K171" s="9"/>
    </x:row>
    <x:row r="172">
      <x:c r="C172" s="11"/>
      <x:c r="D172" s="11"/>
      <x:c r="E172" s="9"/>
      <x:c r="K172" s="9"/>
    </x:row>
    <x:row r="173">
      <x:c r="C173" s="11"/>
      <x:c r="D173" s="11"/>
      <x:c r="E173" s="9"/>
      <x:c r="K173" s="9"/>
    </x:row>
    <x:row r="174">
      <x:c r="C174" s="11"/>
      <x:c r="D174" s="11"/>
      <x:c r="E174" s="9"/>
      <x:c r="K174" s="9"/>
    </x:row>
    <x:row r="175">
      <x:c r="C175" s="11"/>
      <x:c r="D175" s="11"/>
      <x:c r="E175" s="9"/>
      <x:c r="K175" s="9"/>
    </x:row>
    <x:row r="176">
      <x:c r="C176" s="11"/>
      <x:c r="D176" s="11"/>
      <x:c r="E176" s="9"/>
      <x:c r="K176" s="9"/>
    </x:row>
    <x:row r="177">
      <x:c r="C177" s="11"/>
      <x:c r="D177" s="11"/>
      <x:c r="E177" s="9"/>
      <x:c r="K177" s="9"/>
    </x:row>
    <x:row r="178">
      <x:c r="C178" s="11"/>
      <x:c r="D178" s="11"/>
      <x:c r="E178" s="9"/>
      <x:c r="K178" s="9"/>
    </x:row>
    <x:row r="179">
      <x:c r="C179" s="11"/>
      <x:c r="D179" s="11"/>
      <x:c r="E179" s="9"/>
      <x:c r="K179" s="9"/>
    </x:row>
    <x:row r="180">
      <x:c r="C180" s="11"/>
      <x:c r="D180" s="11"/>
      <x:c r="E180" s="9"/>
      <x:c r="K180" s="9"/>
    </x:row>
    <x:row r="181">
      <x:c r="C181" s="11"/>
      <x:c r="D181" s="11"/>
      <x:c r="E181" s="9"/>
      <x:c r="K181" s="9"/>
    </x:row>
    <x:row r="182">
      <x:c r="C182" s="11"/>
      <x:c r="D182" s="11"/>
      <x:c r="E182" s="9"/>
      <x:c r="K182" s="9"/>
    </x:row>
    <x:row r="183">
      <x:c r="C183" s="11"/>
      <x:c r="D183" s="11"/>
      <x:c r="E183" s="9"/>
      <x:c r="K183" s="9"/>
    </x:row>
    <x:row r="184">
      <x:c r="C184" s="11"/>
      <x:c r="D184" s="11"/>
      <x:c r="E184" s="9"/>
      <x:c r="K184" s="9"/>
    </x:row>
    <x:row r="185">
      <x:c r="C185" s="11"/>
      <x:c r="D185" s="11"/>
      <x:c r="E185" s="9"/>
      <x:c r="K185" s="9"/>
    </x:row>
    <x:row r="186">
      <x:c r="C186" s="11"/>
      <x:c r="D186" s="11"/>
      <x:c r="E186" s="9"/>
      <x:c r="K186" s="9"/>
    </x:row>
    <x:row r="187">
      <x:c r="C187" s="11"/>
      <x:c r="D187" s="11"/>
      <x:c r="E187" s="9"/>
      <x:c r="K187" s="9"/>
    </x:row>
    <x:row r="188">
      <x:c r="C188" s="11"/>
      <x:c r="D188" s="11"/>
      <x:c r="E188" s="9"/>
      <x:c r="K188" s="9"/>
    </x:row>
    <x:row r="189">
      <x:c r="C189" s="11"/>
      <x:c r="D189" s="11"/>
      <x:c r="E189" s="9"/>
      <x:c r="K189" s="9"/>
    </x:row>
    <x:row r="190">
      <x:c r="C190" s="11"/>
      <x:c r="D190" s="11"/>
      <x:c r="E190" s="9"/>
      <x:c r="K190" s="9"/>
    </x:row>
    <x:row r="191">
      <x:c r="C191" s="11"/>
      <x:c r="D191" s="11"/>
      <x:c r="E191" s="9"/>
      <x:c r="K191" s="9"/>
    </x:row>
    <x:row r="192">
      <x:c r="C192" s="11"/>
      <x:c r="D192" s="11"/>
      <x:c r="E192" s="9"/>
      <x:c r="K192" s="9"/>
    </x:row>
    <x:row r="193">
      <x:c r="C193" s="11"/>
      <x:c r="D193" s="11"/>
      <x:c r="E193" s="9"/>
      <x:c r="K193" s="9"/>
    </x:row>
    <x:row r="194">
      <x:c r="C194" s="11"/>
      <x:c r="D194" s="11"/>
      <x:c r="E194" s="9"/>
      <x:c r="K194" s="9"/>
    </x:row>
    <x:row r="195">
      <x:c r="C195" s="11"/>
      <x:c r="D195" s="11"/>
      <x:c r="E195" s="9"/>
      <x:c r="K195" s="9"/>
    </x:row>
    <x:row r="196">
      <x:c r="C196" s="11"/>
      <x:c r="D196" s="11"/>
      <x:c r="E196" s="9"/>
      <x:c r="K196" s="9"/>
    </x:row>
    <x:row r="197">
      <x:c r="C197" s="11"/>
      <x:c r="D197" s="11"/>
      <x:c r="E197" s="9"/>
      <x:c r="K197" s="9"/>
    </x:row>
    <x:row r="198">
      <x:c r="C198" s="11"/>
      <x:c r="D198" s="11"/>
      <x:c r="E198" s="9"/>
      <x:c r="K198" s="9"/>
    </x:row>
    <x:row r="199">
      <x:c r="C199" s="11"/>
      <x:c r="D199" s="11"/>
      <x:c r="E199" s="9"/>
      <x:c r="K199" s="9"/>
    </x:row>
    <x:row r="200">
      <x:c r="C200" s="11"/>
      <x:c r="D200" s="11"/>
      <x:c r="E200" s="9"/>
      <x:c r="K200" s="9"/>
    </x:row>
    <x:row r="201">
      <x:c r="C201" s="11"/>
      <x:c r="D201" s="11"/>
      <x:c r="E201" s="9"/>
      <x:c r="K201" s="9"/>
    </x:row>
    <x:row r="202">
      <x:c r="C202" s="11"/>
      <x:c r="D202" s="11"/>
      <x:c r="E202" s="9"/>
      <x:c r="K202" s="9"/>
    </x:row>
    <x:row r="203">
      <x:c r="C203" s="11"/>
      <x:c r="D203" s="11"/>
      <x:c r="E203" s="9"/>
      <x:c r="K203" s="9"/>
    </x:row>
    <x:row r="204">
      <x:c r="C204" s="11"/>
      <x:c r="D204" s="11"/>
      <x:c r="E204" s="9"/>
      <x:c r="K204" s="9"/>
    </x:row>
    <x:row r="205">
      <x:c r="C205" s="11"/>
      <x:c r="D205" s="11"/>
      <x:c r="E205" s="9"/>
      <x:c r="K205" s="9"/>
    </x:row>
    <x:row r="206">
      <x:c r="C206" s="11"/>
      <x:c r="D206" s="11"/>
      <x:c r="E206" s="9"/>
      <x:c r="K206" s="9"/>
    </x:row>
    <x:row r="207">
      <x:c r="C207" s="11"/>
      <x:c r="D207" s="11"/>
      <x:c r="E207" s="9"/>
      <x:c r="K207" s="9"/>
    </x:row>
    <x:row r="208">
      <x:c r="C208" s="11"/>
      <x:c r="D208" s="11"/>
      <x:c r="E208" s="9"/>
      <x:c r="K208" s="9"/>
    </x:row>
    <x:row r="209">
      <x:c r="C209" s="11"/>
      <x:c r="D209" s="11"/>
      <x:c r="E209" s="9"/>
      <x:c r="K209" s="9"/>
    </x:row>
    <x:row r="210">
      <x:c r="C210" s="11"/>
      <x:c r="D210" s="11"/>
      <x:c r="E210" s="9"/>
      <x:c r="K210" s="9"/>
    </x:row>
    <x:row r="211">
      <x:c r="C211" s="11"/>
      <x:c r="D211" s="11"/>
      <x:c r="E211" s="9"/>
      <x:c r="K211" s="9"/>
    </x:row>
    <x:row r="212">
      <x:c r="C212" s="11"/>
      <x:c r="D212" s="11"/>
      <x:c r="E212" s="9"/>
      <x:c r="K212" s="9"/>
    </x:row>
    <x:row r="213">
      <x:c r="C213" s="11"/>
      <x:c r="D213" s="11"/>
      <x:c r="E213" s="9"/>
      <x:c r="K213" s="9"/>
    </x:row>
    <x:row r="214">
      <x:c r="C214" s="11"/>
      <x:c r="D214" s="11"/>
      <x:c r="E214" s="9"/>
      <x:c r="K214" s="9"/>
    </x:row>
    <x:row r="215">
      <x:c r="C215" s="11"/>
      <x:c r="D215" s="11"/>
      <x:c r="E215" s="9"/>
      <x:c r="K215" s="9"/>
    </x:row>
    <x:row r="216">
      <x:c r="C216" s="11"/>
      <x:c r="D216" s="11"/>
      <x:c r="E216" s="9"/>
      <x:c r="K216" s="9"/>
    </x:row>
    <x:row r="217">
      <x:c r="C217" s="11"/>
      <x:c r="D217" s="11"/>
      <x:c r="E217" s="9"/>
      <x:c r="K217" s="9"/>
    </x:row>
    <x:row r="218">
      <x:c r="C218" s="11"/>
      <x:c r="D218" s="11"/>
      <x:c r="E218" s="9"/>
      <x:c r="K218" s="9"/>
    </x:row>
    <x:row r="219">
      <x:c r="C219" s="11"/>
      <x:c r="D219" s="11"/>
      <x:c r="E219" s="9"/>
      <x:c r="K219" s="9"/>
    </x:row>
    <x:row r="220">
      <x:c r="C220" s="11"/>
      <x:c r="D220" s="11"/>
      <x:c r="E220" s="9"/>
      <x:c r="K220" s="9"/>
    </x:row>
    <x:row r="221">
      <x:c r="C221" s="11"/>
      <x:c r="D221" s="11"/>
      <x:c r="E221" s="9"/>
      <x:c r="K221" s="9"/>
    </x:row>
    <x:row r="222">
      <x:c r="C222" s="11"/>
      <x:c r="D222" s="11"/>
      <x:c r="E222" s="9"/>
      <x:c r="K222" s="9"/>
    </x:row>
    <x:row r="223">
      <x:c r="C223" s="11"/>
      <x:c r="D223" s="11"/>
      <x:c r="E223" s="9"/>
      <x:c r="K223" s="9"/>
    </x:row>
    <x:row r="224">
      <x:c r="C224" s="11"/>
      <x:c r="D224" s="11"/>
      <x:c r="E224" s="9"/>
      <x:c r="K224" s="9"/>
    </x:row>
    <x:row r="225">
      <x:c r="C225" s="11"/>
      <x:c r="D225" s="11"/>
      <x:c r="E225" s="9"/>
      <x:c r="K225" s="9"/>
    </x:row>
    <x:row r="226">
      <x:c r="C226" s="11"/>
      <x:c r="D226" s="11"/>
      <x:c r="E226" s="9"/>
      <x:c r="K226" s="9"/>
    </x:row>
    <x:row r="227">
      <x:c r="C227" s="11"/>
      <x:c r="D227" s="11"/>
      <x:c r="E227" s="9"/>
      <x:c r="K227" s="9"/>
    </x:row>
    <x:row r="228">
      <x:c r="C228" s="11"/>
      <x:c r="D228" s="11"/>
      <x:c r="E228" s="9"/>
      <x:c r="K228" s="9"/>
    </x:row>
    <x:row r="229">
      <x:c r="C229" s="11"/>
      <x:c r="D229" s="11"/>
      <x:c r="E229" s="9"/>
      <x:c r="K229" s="9"/>
    </x:row>
    <x:row r="230">
      <x:c r="C230" s="11"/>
      <x:c r="D230" s="11"/>
      <x:c r="E230" s="9"/>
      <x:c r="K230" s="9"/>
    </x:row>
    <x:row r="231">
      <x:c r="C231" s="11"/>
      <x:c r="D231" s="11"/>
      <x:c r="E231" s="9"/>
      <x:c r="K231" s="9"/>
    </x:row>
    <x:row r="232">
      <x:c r="C232" s="11"/>
      <x:c r="D232" s="11"/>
      <x:c r="E232" s="9"/>
      <x:c r="K232" s="9"/>
    </x:row>
    <x:row r="233">
      <x:c r="C233" s="11"/>
      <x:c r="D233" s="11"/>
      <x:c r="E233" s="9"/>
      <x:c r="K233" s="9"/>
    </x:row>
    <x:row r="234">
      <x:c r="C234" s="11"/>
      <x:c r="D234" s="11"/>
      <x:c r="E234" s="9"/>
      <x:c r="K234" s="9"/>
    </x:row>
    <x:row r="235">
      <x:c r="C235" s="11"/>
      <x:c r="D235" s="11"/>
      <x:c r="E235" s="9"/>
      <x:c r="K235" s="9"/>
    </x:row>
    <x:row r="236">
      <x:c r="C236" s="11"/>
      <x:c r="D236" s="11"/>
      <x:c r="E236" s="9"/>
      <x:c r="K236" s="9"/>
    </x:row>
    <x:row r="237">
      <x:c r="C237" s="11"/>
      <x:c r="D237" s="11"/>
      <x:c r="E237" s="9"/>
      <x:c r="K237" s="9"/>
    </x:row>
    <x:row r="238">
      <x:c r="C238" s="11"/>
      <x:c r="D238" s="11"/>
      <x:c r="E238" s="9"/>
      <x:c r="K238" s="9"/>
    </x:row>
    <x:row r="239">
      <x:c r="C239" s="11"/>
      <x:c r="D239" s="11"/>
      <x:c r="E239" s="9"/>
      <x:c r="K239" s="9"/>
    </x:row>
    <x:row r="240">
      <x:c r="C240" s="11"/>
      <x:c r="D240" s="11"/>
      <x:c r="E240" s="9"/>
      <x:c r="K240" s="9"/>
    </x:row>
    <x:row r="241">
      <x:c r="C241" s="11"/>
      <x:c r="D241" s="11"/>
      <x:c r="E241" s="9"/>
      <x:c r="K241" s="9"/>
    </x:row>
    <x:row r="242">
      <x:c r="C242" s="11"/>
      <x:c r="D242" s="11"/>
      <x:c r="E242" s="9"/>
      <x:c r="K242" s="9"/>
    </x:row>
    <x:row r="243">
      <x:c r="C243" s="11"/>
      <x:c r="D243" s="11"/>
      <x:c r="E243" s="9"/>
      <x:c r="K243" s="9"/>
    </x:row>
    <x:row r="244">
      <x:c r="C244" s="11"/>
      <x:c r="D244" s="11"/>
      <x:c r="E244" s="9"/>
      <x:c r="K244" s="9"/>
    </x:row>
    <x:row r="245">
      <x:c r="C245" s="11"/>
      <x:c r="D245" s="11"/>
      <x:c r="E245" s="9"/>
      <x:c r="K245" s="9"/>
    </x:row>
    <x:row r="246">
      <x:c r="C246" s="11"/>
      <x:c r="D246" s="11"/>
      <x:c r="E246" s="9"/>
      <x:c r="K246" s="9"/>
    </x:row>
    <x:row r="247">
      <x:c r="C247" s="11"/>
      <x:c r="D247" s="11"/>
      <x:c r="E247" s="9"/>
      <x:c r="K247" s="9"/>
    </x:row>
    <x:row r="248">
      <x:c r="C248" s="11"/>
      <x:c r="D248" s="11"/>
      <x:c r="E248" s="9"/>
      <x:c r="K248" s="9"/>
    </x:row>
    <x:row r="249">
      <x:c r="C249" s="11"/>
      <x:c r="D249" s="11"/>
      <x:c r="E249" s="9"/>
      <x:c r="K249" s="9"/>
    </x:row>
    <x:row r="250">
      <x:c r="C250" s="11"/>
      <x:c r="D250" s="11"/>
      <x:c r="E250" s="9"/>
      <x:c r="K250" s="9"/>
    </x:row>
    <x:row r="251">
      <x:c r="C251" s="11"/>
      <x:c r="D251" s="11"/>
      <x:c r="E251" s="9"/>
      <x:c r="K251" s="9"/>
    </x:row>
    <x:row r="252">
      <x:c r="C252" s="11"/>
      <x:c r="D252" s="11"/>
      <x:c r="E252" s="9"/>
      <x:c r="K252" s="9"/>
    </x:row>
    <x:row r="253">
      <x:c r="C253" s="11"/>
      <x:c r="D253" s="11"/>
      <x:c r="E253" s="9"/>
      <x:c r="K253" s="9"/>
    </x:row>
    <x:row r="254">
      <x:c r="C254" s="11"/>
      <x:c r="D254" s="11"/>
      <x:c r="E254" s="9"/>
      <x:c r="K254" s="9"/>
    </x:row>
    <x:row r="255">
      <x:c r="C255" s="11"/>
      <x:c r="D255" s="11"/>
      <x:c r="E255" s="9"/>
      <x:c r="K255" s="9"/>
    </x:row>
    <x:row r="256">
      <x:c r="C256" s="11"/>
      <x:c r="D256" s="11"/>
      <x:c r="E256" s="9"/>
      <x:c r="K256" s="9"/>
    </x:row>
    <x:row r="257">
      <x:c r="C257" s="11"/>
      <x:c r="D257" s="11"/>
      <x:c r="E257" s="9"/>
      <x:c r="K257" s="9"/>
    </x:row>
    <x:row r="258">
      <x:c r="C258" s="11"/>
      <x:c r="D258" s="11"/>
      <x:c r="E258" s="9"/>
      <x:c r="K258" s="9"/>
    </x:row>
    <x:row r="259">
      <x:c r="C259" s="11"/>
      <x:c r="D259" s="11"/>
      <x:c r="E259" s="9"/>
      <x:c r="K259" s="9"/>
    </x:row>
    <x:row r="260">
      <x:c r="C260" s="11"/>
      <x:c r="D260" s="11"/>
      <x:c r="E260" s="9"/>
      <x:c r="K260" s="9"/>
    </x:row>
    <x:row r="261">
      <x:c r="C261" s="11"/>
      <x:c r="D261" s="11"/>
      <x:c r="E261" s="9"/>
      <x:c r="K261" s="9"/>
    </x:row>
    <x:row r="262">
      <x:c r="C262" s="11"/>
      <x:c r="D262" s="11"/>
      <x:c r="E262" s="9"/>
      <x:c r="K262" s="9"/>
    </x:row>
    <x:row r="263">
      <x:c r="C263" s="11"/>
      <x:c r="D263" s="11"/>
      <x:c r="E263" s="9"/>
      <x:c r="K263" s="9"/>
    </x:row>
    <x:row r="264">
      <x:c r="C264" s="11"/>
      <x:c r="D264" s="11"/>
      <x:c r="E264" s="9"/>
      <x:c r="K264" s="9"/>
    </x:row>
    <x:row r="265">
      <x:c r="C265" s="11"/>
      <x:c r="D265" s="11"/>
      <x:c r="E265" s="9"/>
      <x:c r="K265" s="9"/>
    </x:row>
    <x:row r="266">
      <x:c r="C266" s="11"/>
      <x:c r="D266" s="11"/>
      <x:c r="E266" s="9"/>
      <x:c r="K266" s="9"/>
    </x:row>
    <x:row r="267">
      <x:c r="C267" s="11"/>
      <x:c r="D267" s="11"/>
      <x:c r="E267" s="9"/>
      <x:c r="K267" s="9"/>
    </x:row>
    <x:row r="268">
      <x:c r="C268" s="11"/>
      <x:c r="D268" s="11"/>
      <x:c r="E268" s="9"/>
      <x:c r="K268" s="9"/>
    </x:row>
    <x:row r="269">
      <x:c r="C269" s="11"/>
      <x:c r="D269" s="11"/>
      <x:c r="E269" s="9"/>
      <x:c r="K269" s="9"/>
    </x:row>
    <x:row r="270">
      <x:c r="C270" s="11"/>
      <x:c r="D270" s="11"/>
      <x:c r="E270" s="9"/>
      <x:c r="K270" s="9"/>
    </x:row>
    <x:row r="271">
      <x:c r="C271" s="11"/>
      <x:c r="D271" s="11"/>
      <x:c r="E271" s="9"/>
      <x:c r="K271" s="9"/>
    </x:row>
    <x:row r="272">
      <x:c r="C272" s="11"/>
      <x:c r="D272" s="11"/>
      <x:c r="E272" s="9"/>
      <x:c r="K272" s="9"/>
    </x:row>
    <x:row r="273">
      <x:c r="C273" s="11"/>
      <x:c r="D273" s="11"/>
      <x:c r="E273" s="9"/>
      <x:c r="K273" s="9"/>
    </x:row>
    <x:row r="274">
      <x:c r="C274" s="11"/>
      <x:c r="D274" s="11"/>
      <x:c r="E274" s="9"/>
      <x:c r="K274" s="9"/>
    </x:row>
    <x:row r="275">
      <x:c r="C275" s="11"/>
      <x:c r="D275" s="11"/>
      <x:c r="E275" s="9"/>
      <x:c r="K275" s="9"/>
    </x:row>
    <x:row r="276">
      <x:c r="C276" s="11"/>
      <x:c r="D276" s="11"/>
      <x:c r="E276" s="9"/>
      <x:c r="K276" s="9"/>
    </x:row>
    <x:row r="277">
      <x:c r="C277" s="11"/>
      <x:c r="D277" s="11"/>
      <x:c r="E277" s="9"/>
      <x:c r="K277" s="9"/>
    </x:row>
    <x:row r="278">
      <x:c r="C278" s="11"/>
      <x:c r="D278" s="11"/>
      <x:c r="E278" s="9"/>
      <x:c r="K278" s="9"/>
    </x:row>
    <x:row r="279">
      <x:c r="C279" s="11"/>
      <x:c r="D279" s="11"/>
      <x:c r="E279" s="9"/>
      <x:c r="K279" s="9"/>
    </x:row>
    <x:row r="280">
      <x:c r="C280" s="11"/>
      <x:c r="D280" s="11"/>
      <x:c r="E280" s="9"/>
      <x:c r="K280" s="9"/>
    </x:row>
    <x:row r="281">
      <x:c r="C281" s="11"/>
      <x:c r="D281" s="11"/>
      <x:c r="E281" s="9"/>
      <x:c r="K281" s="9"/>
    </x:row>
    <x:row r="282">
      <x:c r="C282" s="11"/>
      <x:c r="D282" s="11"/>
      <x:c r="E282" s="9"/>
      <x:c r="K282" s="9"/>
    </x:row>
    <x:row r="283">
      <x:c r="C283" s="11"/>
      <x:c r="D283" s="11"/>
      <x:c r="E283" s="9"/>
      <x:c r="K283" s="9"/>
    </x:row>
    <x:row r="284">
      <x:c r="C284" s="11"/>
      <x:c r="D284" s="11"/>
      <x:c r="E284" s="9"/>
      <x:c r="K284" s="9"/>
    </x:row>
    <x:row r="285">
      <x:c r="C285" s="11"/>
      <x:c r="D285" s="11"/>
      <x:c r="E285" s="9"/>
      <x:c r="K285" s="9"/>
    </x:row>
    <x:row r="286">
      <x:c r="C286" s="11"/>
      <x:c r="D286" s="11"/>
      <x:c r="E286" s="9"/>
      <x:c r="K286" s="9"/>
    </x:row>
    <x:row r="287">
      <x:c r="C287" s="11"/>
      <x:c r="D287" s="11"/>
      <x:c r="E287" s="9"/>
      <x:c r="K287" s="9"/>
    </x:row>
    <x:row r="288">
      <x:c r="C288" s="11"/>
      <x:c r="D288" s="11"/>
      <x:c r="E288" s="9"/>
      <x:c r="K288" s="9"/>
    </x:row>
    <x:row r="289">
      <x:c r="C289" s="11"/>
      <x:c r="D289" s="11"/>
      <x:c r="E289" s="9"/>
      <x:c r="K289" s="9"/>
    </x:row>
    <x:row r="290">
      <x:c r="C290" s="11"/>
      <x:c r="D290" s="11"/>
      <x:c r="E290" s="9"/>
      <x:c r="K290" s="9"/>
    </x:row>
    <x:row r="291">
      <x:c r="C291" s="11"/>
      <x:c r="D291" s="11"/>
      <x:c r="E291" s="9"/>
      <x:c r="K291" s="9"/>
    </x:row>
    <x:row r="292">
      <x:c r="C292" s="11"/>
      <x:c r="D292" s="11"/>
      <x:c r="E292" s="9"/>
      <x:c r="K292" s="9"/>
    </x:row>
    <x:row r="293">
      <x:c r="C293" s="11"/>
      <x:c r="D293" s="11"/>
      <x:c r="E293" s="9"/>
      <x:c r="K293" s="9"/>
    </x:row>
    <x:row r="294">
      <x:c r="C294" s="11"/>
      <x:c r="D294" s="11"/>
      <x:c r="E294" s="9"/>
      <x:c r="K294" s="9"/>
    </x:row>
    <x:row r="295">
      <x:c r="C295" s="11"/>
      <x:c r="D295" s="11"/>
      <x:c r="E295" s="9"/>
      <x:c r="K295" s="9"/>
    </x:row>
    <x:row r="296">
      <x:c r="C296" s="11"/>
      <x:c r="D296" s="11"/>
      <x:c r="E296" s="9"/>
      <x:c r="K296" s="9"/>
    </x:row>
    <x:row r="297">
      <x:c r="C297" s="11"/>
      <x:c r="D297" s="11"/>
      <x:c r="E297" s="9"/>
      <x:c r="K297" s="9"/>
    </x:row>
    <x:row r="298">
      <x:c r="C298" s="11"/>
      <x:c r="D298" s="11"/>
      <x:c r="E298" s="9"/>
      <x:c r="K298" s="9"/>
    </x:row>
    <x:row r="299">
      <x:c r="C299" s="11"/>
      <x:c r="D299" s="11"/>
      <x:c r="E299" s="9"/>
      <x:c r="K299" s="9"/>
    </x:row>
    <x:row r="300">
      <x:c r="C300" s="11"/>
      <x:c r="D300" s="11"/>
      <x:c r="E300" s="9"/>
      <x:c r="K300" s="9"/>
    </x:row>
    <x:row r="301">
      <x:c r="C301" s="11"/>
      <x:c r="D301" s="11"/>
      <x:c r="E301" s="9"/>
      <x:c r="K301" s="9"/>
    </x:row>
  </x:sheetData>
  <x:conditionalFormatting sqref="G2:G301">
    <x:cfRule type="containsText" dxfId="0" priority="1" operator="containsText" text="计划"/>
  </x:conditionalFormatting>
  <x:conditionalFormatting sqref="A2:A301">
    <x:cfRule type="expression" dxfId="1" priority="2">
      <x:formula>AND(A2&lt;&gt;"",COUNTIF($A$2:$A$301,A2)&gt;1)</x:formula>
    </x:cfRule>
  </x:conditionalFormatting>
  <x:dataValidations count="3">
    <x:dataValidation type="whole" operator="between" sqref="C2:C301">
      <x:formula1>1900</x:formula1>
      <x:formula2>2200</x:formula2>
    </x:dataValidation>
    <x:dataValidation type="list" sqref="D2:D301">
      <x:formula1>"0,1,2,3,4"</x:formula1>
    </x:dataValidation>
    <x:dataValidation type="list" sqref="G2:G301">
      <x:formula1>"已发生,计划,预测,线索"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9b14e728cf4a9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9" hidden="0" customWidth="1"/>
    <x:col min="3" max="3" width="10" hidden="0" customWidth="1"/>
    <x:col min="4" max="4" width="12" hidden="0" customWidth="1"/>
    <x:col min="5" max="5" width="16" hidden="0" customWidth="1"/>
    <x:col min="6" max="6" width="18" hidden="0" customWidth="1"/>
    <x:col min="7" max="7" width="43" hidden="0" customWidth="1"/>
    <x:col min="8" max="8" width="36" hidden="0" customWidth="1"/>
    <x:col min="9" max="9" width="45" hidden="0" customWidth="1"/>
    <x:col min="10" max="10" width="25" hidden="0" customWidth="1"/>
    <x:col min="11" max="11" width="31" hidden="0" customWidth="1"/>
    <x:col min="12" max="12" width="13" hidden="0" customWidth="1"/>
    <x:col min="13" max="13" width="13" hidden="0" customWidth="1"/>
    <x:col min="14" max="14" width="13" hidden="0" customWidth="1"/>
    <x:col min="15" max="15" width="12" hidden="0" customWidth="1"/>
    <x:col min="16" max="16" width="65" hidden="0" customWidth="1"/>
  </x:cols>
  <x:sheetData>
    <x:row r="1">
      <x:c r="A1" s="5" t="str">
        <x:v>影响ID</x:v>
      </x:c>
      <x:c r="B1" s="5" t="str">
        <x:v>事件ID</x:v>
      </x:c>
      <x:c r="C1" s="5" t="str">
        <x:v>品种</x:v>
      </x:c>
      <x:c r="D1" s="5" t="str">
        <x:v>影响地区</x:v>
      </x:c>
      <x:c r="E1" s="5" t="str">
        <x:v>模块</x:v>
      </x:c>
      <x:c r="F1" s="5" t="str">
        <x:v>研究因素</x:v>
      </x:c>
      <x:c r="G1" s="5" t="str">
        <x:v>影响判断</x:v>
      </x:c>
      <x:c r="H1" s="5" t="str">
        <x:v>跟踪指标</x:v>
      </x:c>
      <x:c r="I1" s="5" t="str">
        <x:v>成立条件</x:v>
      </x:c>
      <x:c r="J1" s="5" t="str">
        <x:v>影响窗口</x:v>
      </x:c>
      <x:c r="K1" s="4" t="str">
        <x:v>事件（关联）</x:v>
      </x:c>
      <x:c r="L1" s="4" t="str">
        <x:v>年份（关联）</x:v>
      </x:c>
      <x:c r="M1" s="4" t="str">
        <x:v>季度（关联）</x:v>
      </x:c>
      <x:c r="N1" s="4" t="str">
        <x:v>状态（关联）</x:v>
      </x:c>
      <x:c r="O1" s="4" t="str">
        <x:v>当前筛选</x:v>
      </x:c>
      <x:c r="P1" s="4" t="str">
        <x:v>日历内容</x:v>
      </x:c>
    </x:row>
    <x:row r="2">
      <x:c r="A2" s="25" t="str">
        <x:v>I001</x:v>
      </x:c>
      <x:c r="B2" s="25" t="str">
        <x:v>E001</x:v>
      </x:c>
      <x:c r="C2" s="25" t="str">
        <x:v>电力</x:v>
      </x:c>
      <x:c r="D2" s="25" t="str">
        <x:v>广东</x:v>
      </x:c>
      <x:c r="E2" s="25" t="str">
        <x:v>供给</x:v>
      </x:c>
      <x:c r="F2" s="25" t="str">
        <x:v>煤电燃料成本</x:v>
      </x:c>
      <x:c r="G2" s="25" t="str">
        <x:v>燃料采购成本上行，煤电利润承压</x:v>
      </x:c>
      <x:c r="H2" s="25" t="str">
        <x:v>到厂标煤单价、供电煤耗、上网电价</x:v>
      </x:c>
      <x:c r="I2" s="25" t="str">
        <x:v>按机组实际采购煤种、热值和长协兑现率测算</x:v>
      </x:c>
      <x:c r="J2" s="25" t="str">
        <x:v>当月与合同重定价期</x:v>
      </x:c>
      <x:c r="K2" s="17" t="str">
        <x:f>IF($B2="","",IF(COUNTIF('共享事件'!$A$2:$A$301,$B2)&lt;&gt;1,"事件ID缺失或重复",INDEX('共享事件'!$A$2:$M$301,MATCH($B2,'共享事件'!$A$2:$A$301,0),2)))</x:f>
        <x:v>广东煤价大幅上涨</x:v>
      </x:c>
      <x:c r="L2" s="18" t="n">
        <x:f>IF($B2="","",IF(COUNTIF('共享事件'!$A$2:$A$301,$B2)&lt;&gt;1,"事件ID缺失或重复",INDEX('共享事件'!$A$2:$M$301,MATCH($B2,'共享事件'!$A$2:$A$301,0),3)))</x:f>
        <x:v>2021</x:v>
      </x:c>
      <x:c r="M2" s="18" t="n">
        <x:f>IF($B2="","",IF(COUNTIF('共享事件'!$A$2:$A$301,$B2)&lt;&gt;1,"事件ID缺失或重复",INDEX('共享事件'!$A$2:$M$301,MATCH($B2,'共享事件'!$A$2:$A$301,0),4)))</x:f>
        <x:v>4</x:v>
      </x:c>
      <x:c r="N2" s="17" t="str">
        <x:f>IF($B2="","",IF(COUNTIF('共享事件'!$A$2:$A$301,$B2)&lt;&gt;1,"事件ID缺失或重复",INDEX('共享事件'!$A$2:$M$301,MATCH($B2,'共享事件'!$A$2:$A$301,0),7)))</x:f>
        <x:v>已发生</x:v>
      </x:c>
      <x:c r="O2" s="17" t="n">
        <x:f>IF($A2="",0,IF(AND($C2='季度总览'!$D$3,$L2='季度总览'!$B$3,OR('季度总览'!$F$3="全部",$D2='季度总览'!$F$3,$D2="全国",$D2="全球")),1,0))</x:f>
        <x:v>0</x:v>
      </x:c>
      <x:c r="P2" s="17" t="str">
        <x:f>IF($A2="","",$K2&amp;"【"&amp;$N2&amp;"】"&amp;CHAR(10)&amp;$D2&amp;"："&amp;$G2)</x:f>
        <x:v>广东煤价大幅上涨【已发生】
广东：燃料采购成本上行，煤电利润承压</x:v>
      </x:c>
    </x:row>
    <x:row r="3">
      <x:c r="A3" s="25" t="str">
        <x:v>I002</x:v>
      </x:c>
      <x:c r="B3" s="25" t="str">
        <x:v>E001</x:v>
      </x:c>
      <x:c r="C3" s="25" t="str">
        <x:v>动力煤</x:v>
      </x:c>
      <x:c r="D3" s="25" t="str">
        <x:v>广东</x:v>
      </x:c>
      <x:c r="E3" s="25" t="str">
        <x:v>供给</x:v>
      </x:c>
      <x:c r="F3" s="25" t="str">
        <x:v>煤炭供应与物流</x:v>
      </x:c>
      <x:c r="G3" s="25" t="str">
        <x:v>产地停产和发运受阻增加区域供给压力</x:v>
      </x:c>
      <x:c r="H3" s="25" t="str">
        <x:v>动力煤分品种价格、港口库存、到港量</x:v>
      </x:c>
      <x:c r="I3" s="25" t="str">
        <x:v>综合煤炭均价不可替代5500大卡动力煤报价</x:v>
      </x:c>
      <x:c r="J3" s="25" t="str">
        <x:v>2021年10月</x:v>
      </x:c>
      <x:c r="K3" s="17" t="str">
        <x:f>IF($B3="","",IF(COUNTIF('共享事件'!$A$2:$A$301,$B3)&lt;&gt;1,"事件ID缺失或重复",INDEX('共享事件'!$A$2:$M$301,MATCH($B3,'共享事件'!$A$2:$A$301,0),2)))</x:f>
        <x:v>广东煤价大幅上涨</x:v>
      </x:c>
      <x:c r="L3" s="18" t="n">
        <x:f>IF($B3="","",IF(COUNTIF('共享事件'!$A$2:$A$301,$B3)&lt;&gt;1,"事件ID缺失或重复",INDEX('共享事件'!$A$2:$M$301,MATCH($B3,'共享事件'!$A$2:$A$301,0),3)))</x:f>
        <x:v>2021</x:v>
      </x:c>
      <x:c r="M3" s="18" t="n">
        <x:f>IF($B3="","",IF(COUNTIF('共享事件'!$A$2:$A$301,$B3)&lt;&gt;1,"事件ID缺失或重复",INDEX('共享事件'!$A$2:$M$301,MATCH($B3,'共享事件'!$A$2:$A$301,0),4)))</x:f>
        <x:v>4</x:v>
      </x:c>
      <x:c r="N3" s="17" t="str">
        <x:f>IF($B3="","",IF(COUNTIF('共享事件'!$A$2:$A$301,$B3)&lt;&gt;1,"事件ID缺失或重复",INDEX('共享事件'!$A$2:$M$301,MATCH($B3,'共享事件'!$A$2:$A$301,0),7)))</x:f>
        <x:v>已发生</x:v>
      </x:c>
      <x:c r="O3" s="17" t="n">
        <x:f>IF($A3="",0,IF(AND($C3='季度总览'!$D$3,$L3='季度总览'!$B$3,OR('季度总览'!$F$3="全部",$D3='季度总览'!$F$3,$D3="全国",$D3="全球")),1,0))</x:f>
        <x:v>0</x:v>
      </x:c>
      <x:c r="P3" s="17" t="str">
        <x:f>IF($A3="","",$K3&amp;"【"&amp;$N3&amp;"】"&amp;CHAR(10)&amp;$D3&amp;"："&amp;$G3)</x:f>
        <x:v>广东煤价大幅上涨【已发生】
广东：产地停产和发运受阻增加区域供给压力</x:v>
      </x:c>
    </x:row>
    <x:row r="4">
      <x:c r="A4" s="25" t="str">
        <x:v>I003</x:v>
      </x:c>
      <x:c r="B4" s="25" t="str">
        <x:v>E002</x:v>
      </x:c>
      <x:c r="C4" s="25" t="str">
        <x:v>电力</x:v>
      </x:c>
      <x:c r="D4" s="25" t="str">
        <x:v>全国</x:v>
      </x:c>
      <x:c r="E4" s="25" t="str">
        <x:v>制度与价格</x:v>
      </x:c>
      <x:c r="F4" s="25" t="str">
        <x:v>成本传导</x:v>
      </x:c>
      <x:c r="G4" s="25" t="str">
        <x:v>煤电市场交易价格向燃料成本传导的空间扩大</x:v>
      </x:c>
      <x:c r="H4" s="25" t="str">
        <x:v>煤电成交价、到厂煤价、用户类别</x:v>
      </x:c>
      <x:c r="I4" s="25" t="str">
        <x:v>按当时规则适用范围研究，电价上浮不等于已足额兑现</x:v>
      </x:c>
      <x:c r="J4" s="25" t="str">
        <x:v>2021-10-15起的适用期</x:v>
      </x:c>
      <x:c r="K4" s="17" t="str">
        <x:f>IF($B4="","",IF(COUNTIF('共享事件'!$A$2:$A$301,$B4)&lt;&gt;1,"事件ID缺失或重复",INDEX('共享事件'!$A$2:$M$301,MATCH($B4,'共享事件'!$A$2:$A$301,0),2)))</x:f>
        <x:v>燃煤上网电价浮动范围调整</x:v>
      </x:c>
      <x:c r="L4" s="18" t="n">
        <x:f>IF($B4="","",IF(COUNTIF('共享事件'!$A$2:$A$301,$B4)&lt;&gt;1,"事件ID缺失或重复",INDEX('共享事件'!$A$2:$M$301,MATCH($B4,'共享事件'!$A$2:$A$301,0),3)))</x:f>
        <x:v>2021</x:v>
      </x:c>
      <x:c r="M4" s="18" t="n">
        <x:f>IF($B4="","",IF(COUNTIF('共享事件'!$A$2:$A$301,$B4)&lt;&gt;1,"事件ID缺失或重复",INDEX('共享事件'!$A$2:$M$301,MATCH($B4,'共享事件'!$A$2:$A$301,0),4)))</x:f>
        <x:v>4</x:v>
      </x:c>
      <x:c r="N4" s="17" t="str">
        <x:f>IF($B4="","",IF(COUNTIF('共享事件'!$A$2:$A$301,$B4)&lt;&gt;1,"事件ID缺失或重复",INDEX('共享事件'!$A$2:$M$301,MATCH($B4,'共享事件'!$A$2:$A$301,0),7)))</x:f>
        <x:v>已发生</x:v>
      </x:c>
      <x:c r="O4" s="17" t="n">
        <x:f>IF($A4="",0,IF(AND($C4='季度总览'!$D$3,$L4='季度总览'!$B$3,OR('季度总览'!$F$3="全部",$D4='季度总览'!$F$3,$D4="全国",$D4="全球")),1,0))</x:f>
        <x:v>0</x:v>
      </x:c>
      <x:c r="P4" s="17" t="str">
        <x:f>IF($A4="","",$K4&amp;"【"&amp;$N4&amp;"】"&amp;CHAR(10)&amp;$D4&amp;"："&amp;$G4)</x:f>
        <x:v>燃煤上网电价浮动范围调整【已发生】
全国：煤电市场交易价格向燃料成本传导的空间扩大</x:v>
      </x:c>
    </x:row>
    <x:row r="5">
      <x:c r="A5" s="25" t="str">
        <x:v>I004</x:v>
      </x:c>
      <x:c r="B5" s="25" t="str">
        <x:v>E003</x:v>
      </x:c>
      <x:c r="C5" s="25" t="str">
        <x:v>电力</x:v>
      </x:c>
      <x:c r="D5" s="25" t="str">
        <x:v>川渝</x:v>
      </x:c>
      <x:c r="E5" s="25" t="str">
        <x:v>供给</x:v>
      </x:c>
      <x:c r="F5" s="25" t="str">
        <x:v>水电可用出力</x:v>
      </x:c>
      <x:c r="G5" s="25" t="str">
        <x:v>来水减少压低水电能力，增加其他电源补位需求</x:v>
      </x:c>
      <x:c r="H5" s="25" t="str">
        <x:v>入库流量、水位、水电可用出力、外购电</x:v>
      </x:c>
      <x:c r="I5" s="25" t="str">
        <x:v>按流域水库与电网送受电边界拆解</x:v>
      </x:c>
      <x:c r="J5" s="25" t="str">
        <x:v>2022年8月</x:v>
      </x:c>
      <x:c r="K5" s="17" t="str">
        <x:f>IF($B5="","",IF(COUNTIF('共享事件'!$A$2:$A$301,$B5)&lt;&gt;1,"事件ID缺失或重复",INDEX('共享事件'!$A$2:$M$301,MATCH($B5,'共享事件'!$A$2:$A$301,0),2)))</x:f>
        <x:v>川渝高温干旱与水电减出力</x:v>
      </x:c>
      <x:c r="L5" s="18" t="n">
        <x:f>IF($B5="","",IF(COUNTIF('共享事件'!$A$2:$A$301,$B5)&lt;&gt;1,"事件ID缺失或重复",INDEX('共享事件'!$A$2:$M$301,MATCH($B5,'共享事件'!$A$2:$A$301,0),3)))</x:f>
        <x:v>2022</x:v>
      </x:c>
      <x:c r="M5" s="18" t="n">
        <x:f>IF($B5="","",IF(COUNTIF('共享事件'!$A$2:$A$301,$B5)&lt;&gt;1,"事件ID缺失或重复",INDEX('共享事件'!$A$2:$M$301,MATCH($B5,'共享事件'!$A$2:$A$301,0),4)))</x:f>
        <x:v>3</x:v>
      </x:c>
      <x:c r="N5" s="17" t="str">
        <x:f>IF($B5="","",IF(COUNTIF('共享事件'!$A$2:$A$301,$B5)&lt;&gt;1,"事件ID缺失或重复",INDEX('共享事件'!$A$2:$M$301,MATCH($B5,'共享事件'!$A$2:$A$301,0),7)))</x:f>
        <x:v>已发生</x:v>
      </x:c>
      <x:c r="O5" s="17" t="n">
        <x:f>IF($A5="",0,IF(AND($C5='季度总览'!$D$3,$L5='季度总览'!$B$3,OR('季度总览'!$F$3="全部",$D5='季度总览'!$F$3,$D5="全国",$D5="全球")),1,0))</x:f>
        <x:v>0</x:v>
      </x:c>
      <x:c r="P5" s="17" t="str">
        <x:f>IF($A5="","",$K5&amp;"【"&amp;$N5&amp;"】"&amp;CHAR(10)&amp;$D5&amp;"："&amp;$G5)</x:f>
        <x:v>川渝高温干旱与水电减出力【已发生】
川渝：来水减少压低水电能力，增加其他电源补位需求</x:v>
      </x:c>
    </x:row>
    <x:row r="6">
      <x:c r="A6" s="25" t="str">
        <x:v>I005</x:v>
      </x:c>
      <x:c r="B6" s="25" t="str">
        <x:v>E003</x:v>
      </x:c>
      <x:c r="C6" s="25" t="str">
        <x:v>电力</x:v>
      </x:c>
      <x:c r="D6" s="25" t="str">
        <x:v>川渝</x:v>
      </x:c>
      <x:c r="E6" s="25" t="str">
        <x:v>需求</x:v>
      </x:c>
      <x:c r="F6" s="25" t="str">
        <x:v>降温负荷</x:v>
      </x:c>
      <x:c r="G6" s="25" t="str">
        <x:v>持续高温抬升降温用电，与水电减出力叠加</x:v>
      </x:c>
      <x:c r="H6" s="25" t="str">
        <x:v>体感温度、制冷度日、最大负荷</x:v>
      </x:c>
      <x:c r="I6" s="25" t="str">
        <x:v>分清潜在需求与有序用电后的实际负荷</x:v>
      </x:c>
      <x:c r="J6" s="25" t="str">
        <x:v>2022年8月</x:v>
      </x:c>
      <x:c r="K6" s="17" t="str">
        <x:f>IF($B6="","",IF(COUNTIF('共享事件'!$A$2:$A$301,$B6)&lt;&gt;1,"事件ID缺失或重复",INDEX('共享事件'!$A$2:$M$301,MATCH($B6,'共享事件'!$A$2:$A$301,0),2)))</x:f>
        <x:v>川渝高温干旱与水电减出力</x:v>
      </x:c>
      <x:c r="L6" s="18" t="n">
        <x:f>IF($B6="","",IF(COUNTIF('共享事件'!$A$2:$A$301,$B6)&lt;&gt;1,"事件ID缺失或重复",INDEX('共享事件'!$A$2:$M$301,MATCH($B6,'共享事件'!$A$2:$A$301,0),3)))</x:f>
        <x:v>2022</x:v>
      </x:c>
      <x:c r="M6" s="18" t="n">
        <x:f>IF($B6="","",IF(COUNTIF('共享事件'!$A$2:$A$301,$B6)&lt;&gt;1,"事件ID缺失或重复",INDEX('共享事件'!$A$2:$M$301,MATCH($B6,'共享事件'!$A$2:$A$301,0),4)))</x:f>
        <x:v>3</x:v>
      </x:c>
      <x:c r="N6" s="17" t="str">
        <x:f>IF($B6="","",IF(COUNTIF('共享事件'!$A$2:$A$301,$B6)&lt;&gt;1,"事件ID缺失或重复",INDEX('共享事件'!$A$2:$M$301,MATCH($B6,'共享事件'!$A$2:$A$301,0),7)))</x:f>
        <x:v>已发生</x:v>
      </x:c>
      <x:c r="O6" s="17" t="n">
        <x:f>IF($A6="",0,IF(AND($C6='季度总览'!$D$3,$L6='季度总览'!$B$3,OR('季度总览'!$F$3="全部",$D6='季度总览'!$F$3,$D6="全国",$D6="全球")),1,0))</x:f>
        <x:v>0</x:v>
      </x:c>
      <x:c r="P6" s="17" t="str">
        <x:f>IF($A6="","",$K6&amp;"【"&amp;$N6&amp;"】"&amp;CHAR(10)&amp;$D6&amp;"："&amp;$G6)</x:f>
        <x:v>川渝高温干旱与水电减出力【已发生】
川渝：持续高温抬升降温用电，与水电减出力叠加</x:v>
      </x:c>
    </x:row>
    <x:row r="7">
      <x:c r="A7" s="25" t="str">
        <x:v>I006</x:v>
      </x:c>
      <x:c r="B7" s="25" t="str">
        <x:v>E003</x:v>
      </x:c>
      <x:c r="C7" s="25" t="str">
        <x:v>动力煤</x:v>
      </x:c>
      <x:c r="D7" s="25" t="str">
        <x:v>川渝</x:v>
      </x:c>
      <x:c r="E7" s="25" t="str">
        <x:v>需求</x:v>
      </x:c>
      <x:c r="F7" s="25" t="str">
        <x:v>水火替代</x:v>
      </x:c>
      <x:c r="G7" s="25" t="str">
        <x:v>水电减出力可能增加煤电顶峰和耗煤需求</x:v>
      </x:c>
      <x:c r="H7" s="25" t="str">
        <x:v>火电发电量、日耗、外来电</x:v>
      </x:c>
      <x:c r="I7" s="25" t="str">
        <x:v>取决于煤电可用容量及跨省支援，不能等比例折算</x:v>
      </x:c>
      <x:c r="J7" s="25" t="str">
        <x:v>高温干旱持续期</x:v>
      </x:c>
      <x:c r="K7" s="17" t="str">
        <x:f>IF($B7="","",IF(COUNTIF('共享事件'!$A$2:$A$301,$B7)&lt;&gt;1,"事件ID缺失或重复",INDEX('共享事件'!$A$2:$M$301,MATCH($B7,'共享事件'!$A$2:$A$301,0),2)))</x:f>
        <x:v>川渝高温干旱与水电减出力</x:v>
      </x:c>
      <x:c r="L7" s="18" t="n">
        <x:f>IF($B7="","",IF(COUNTIF('共享事件'!$A$2:$A$301,$B7)&lt;&gt;1,"事件ID缺失或重复",INDEX('共享事件'!$A$2:$M$301,MATCH($B7,'共享事件'!$A$2:$A$301,0),3)))</x:f>
        <x:v>2022</x:v>
      </x:c>
      <x:c r="M7" s="18" t="n">
        <x:f>IF($B7="","",IF(COUNTIF('共享事件'!$A$2:$A$301,$B7)&lt;&gt;1,"事件ID缺失或重复",INDEX('共享事件'!$A$2:$M$301,MATCH($B7,'共享事件'!$A$2:$A$301,0),4)))</x:f>
        <x:v>3</x:v>
      </x:c>
      <x:c r="N7" s="17" t="str">
        <x:f>IF($B7="","",IF(COUNTIF('共享事件'!$A$2:$A$301,$B7)&lt;&gt;1,"事件ID缺失或重复",INDEX('共享事件'!$A$2:$M$301,MATCH($B7,'共享事件'!$A$2:$A$301,0),7)))</x:f>
        <x:v>已发生</x:v>
      </x:c>
      <x:c r="O7" s="17" t="n">
        <x:f>IF($A7="",0,IF(AND($C7='季度总览'!$D$3,$L7='季度总览'!$B$3,OR('季度总览'!$F$3="全部",$D7='季度总览'!$F$3,$D7="全国",$D7="全球")),1,0))</x:f>
        <x:v>0</x:v>
      </x:c>
      <x:c r="P7" s="17" t="str">
        <x:f>IF($A7="","",$K7&amp;"【"&amp;$N7&amp;"】"&amp;CHAR(10)&amp;$D7&amp;"："&amp;$G7)</x:f>
        <x:v>川渝高温干旱与水电减出力【已发生】
川渝：水电减出力可能增加煤电顶峰和耗煤需求</x:v>
      </x:c>
    </x:row>
    <x:row r="8">
      <x:c r="A8" s="25" t="str">
        <x:v>I007</x:v>
      </x:c>
      <x:c r="B8" s="25" t="str">
        <x:v>E004</x:v>
      </x:c>
      <x:c r="C8" s="25" t="str">
        <x:v>电力</x:v>
      </x:c>
      <x:c r="D8" s="25" t="str">
        <x:v>全球</x:v>
      </x:c>
      <x:c r="E8" s="25" t="str">
        <x:v>宏观与气候</x:v>
      </x:c>
      <x:c r="F8" s="25" t="str">
        <x:v>ENSO背景</x:v>
      </x:c>
      <x:c r="G8" s="25" t="str">
        <x:v>通过区域气温、降水与风场影响供需分布</x:v>
      </x:c>
      <x:c r="H8" s="25" t="str">
        <x:v>ONI、区域温度、来水、风速与辐射</x:v>
      </x:c>
      <x:c r="I8" s="25" t="str">
        <x:v>ENSO只作背景变量，省级负荷方向需当地天气验证</x:v>
      </x:c>
      <x:c r="J8" s="25" t="str">
        <x:v>事件形成后数月，分季节验证</x:v>
      </x:c>
      <x:c r="K8" s="17" t="str">
        <x:f>IF($B8="","",IF(COUNTIF('共享事件'!$A$2:$A$301,$B8)&lt;&gt;1,"事件ID缺失或重复",INDEX('共享事件'!$A$2:$M$301,MATCH($B8,'共享事件'!$A$2:$A$301,0),2)))</x:f>
        <x:v>WMO宣布厄尔尼诺条件形成</x:v>
      </x:c>
      <x:c r="L8" s="18" t="n">
        <x:f>IF($B8="","",IF(COUNTIF('共享事件'!$A$2:$A$301,$B8)&lt;&gt;1,"事件ID缺失或重复",INDEX('共享事件'!$A$2:$M$301,MATCH($B8,'共享事件'!$A$2:$A$301,0),3)))</x:f>
        <x:v>2023</x:v>
      </x:c>
      <x:c r="M8" s="18" t="n">
        <x:f>IF($B8="","",IF(COUNTIF('共享事件'!$A$2:$A$301,$B8)&lt;&gt;1,"事件ID缺失或重复",INDEX('共享事件'!$A$2:$M$301,MATCH($B8,'共享事件'!$A$2:$A$301,0),4)))</x:f>
        <x:v>3</x:v>
      </x:c>
      <x:c r="N8" s="17" t="str">
        <x:f>IF($B8="","",IF(COUNTIF('共享事件'!$A$2:$A$301,$B8)&lt;&gt;1,"事件ID缺失或重复",INDEX('共享事件'!$A$2:$M$301,MATCH($B8,'共享事件'!$A$2:$A$301,0),7)))</x:f>
        <x:v>已发生</x:v>
      </x:c>
      <x:c r="O8" s="17" t="n">
        <x:f>IF($A8="",0,IF(AND($C8='季度总览'!$D$3,$L8='季度总览'!$B$3,OR('季度总览'!$F$3="全部",$D8='季度总览'!$F$3,$D8="全国",$D8="全球")),1,0))</x:f>
        <x:v>0</x:v>
      </x:c>
      <x:c r="P8" s="17" t="str">
        <x:f>IF($A8="","",$K8&amp;"【"&amp;$N8&amp;"】"&amp;CHAR(10)&amp;$D8&amp;"："&amp;$G8)</x:f>
        <x:v>WMO宣布厄尔尼诺条件形成【已发生】
全球：通过区域气温、降水与风场影响供需分布</x:v>
      </x:c>
    </x:row>
    <x:row r="9">
      <x:c r="A9" s="25" t="str">
        <x:v>I008</x:v>
      </x:c>
      <x:c r="B9" s="25" t="str">
        <x:v>E004</x:v>
      </x:c>
      <x:c r="C9" s="25" t="str">
        <x:v>动力煤</x:v>
      </x:c>
      <x:c r="D9" s="25" t="str">
        <x:v>全球</x:v>
      </x:c>
      <x:c r="E9" s="25" t="str">
        <x:v>宏观与气候</x:v>
      </x:c>
      <x:c r="F9" s="25" t="str">
        <x:v>气候与能源需求</x:v>
      </x:c>
      <x:c r="G9" s="25" t="str">
        <x:v>降温取暖、水火替代与产运天气共同影响煤耗</x:v>
      </x:c>
      <x:c r="H9" s="25" t="str">
        <x:v>电厂日耗、降水、港口发运</x:v>
      </x:c>
      <x:c r="I9" s="25" t="str">
        <x:v>各产销区影响可相反，不预设统一煤价方向</x:v>
      </x:c>
      <x:c r="J9" s="25" t="str">
        <x:v>分地区、分季节验证</x:v>
      </x:c>
      <x:c r="K9" s="17" t="str">
        <x:f>IF($B9="","",IF(COUNTIF('共享事件'!$A$2:$A$301,$B9)&lt;&gt;1,"事件ID缺失或重复",INDEX('共享事件'!$A$2:$M$301,MATCH($B9,'共享事件'!$A$2:$A$301,0),2)))</x:f>
        <x:v>WMO宣布厄尔尼诺条件形成</x:v>
      </x:c>
      <x:c r="L9" s="18" t="n">
        <x:f>IF($B9="","",IF(COUNTIF('共享事件'!$A$2:$A$301,$B9)&lt;&gt;1,"事件ID缺失或重复",INDEX('共享事件'!$A$2:$M$301,MATCH($B9,'共享事件'!$A$2:$A$301,0),3)))</x:f>
        <x:v>2023</x:v>
      </x:c>
      <x:c r="M9" s="18" t="n">
        <x:f>IF($B9="","",IF(COUNTIF('共享事件'!$A$2:$A$301,$B9)&lt;&gt;1,"事件ID缺失或重复",INDEX('共享事件'!$A$2:$M$301,MATCH($B9,'共享事件'!$A$2:$A$301,0),4)))</x:f>
        <x:v>3</x:v>
      </x:c>
      <x:c r="N9" s="17" t="str">
        <x:f>IF($B9="","",IF(COUNTIF('共享事件'!$A$2:$A$301,$B9)&lt;&gt;1,"事件ID缺失或重复",INDEX('共享事件'!$A$2:$M$301,MATCH($B9,'共享事件'!$A$2:$A$301,0),7)))</x:f>
        <x:v>已发生</x:v>
      </x:c>
      <x:c r="O9" s="17" t="n">
        <x:f>IF($A9="",0,IF(AND($C9='季度总览'!$D$3,$L9='季度总览'!$B$3,OR('季度总览'!$F$3="全部",$D9='季度总览'!$F$3,$D9="全国",$D9="全球")),1,0))</x:f>
        <x:v>0</x:v>
      </x:c>
      <x:c r="P9" s="17" t="str">
        <x:f>IF($A9="","",$K9&amp;"【"&amp;$N9&amp;"】"&amp;CHAR(10)&amp;$D9&amp;"："&amp;$G9)</x:f>
        <x:v>WMO宣布厄尔尼诺条件形成【已发生】
全球：降温取暖、水火替代与产运天气共同影响煤耗</x:v>
      </x:c>
    </x:row>
    <x:row r="10">
      <x:c r="A10" s="25" t="str">
        <x:v>I009</x:v>
      </x:c>
      <x:c r="B10" s="25" t="str">
        <x:v>E004</x:v>
      </x:c>
      <x:c r="C10" s="25" t="str">
        <x:v>甲醇</x:v>
      </x:c>
      <x:c r="D10" s="25" t="str">
        <x:v>全球</x:v>
      </x:c>
      <x:c r="E10" s="25" t="str">
        <x:v>宏观与气候</x:v>
      </x:c>
      <x:c r="F10" s="25" t="str">
        <x:v>气候与供应链</x:v>
      </x:c>
      <x:c r="G10" s="25" t="str">
        <x:v>关注气源分配、装置运行和港口航运扰动</x:v>
      </x:c>
      <x:c r="H10" s="25" t="str">
        <x:v>气头开工、到港、港口库存</x:v>
      </x:c>
      <x:c r="I10" s="25" t="str">
        <x:v>须有装置或运输证据，不能从ENSO直接推出甲醇涨跌</x:v>
      </x:c>
      <x:c r="J10" s="25" t="str">
        <x:v>按装置和船期验证</x:v>
      </x:c>
      <x:c r="K10" s="17" t="str">
        <x:f>IF($B10="","",IF(COUNTIF('共享事件'!$A$2:$A$301,$B10)&lt;&gt;1,"事件ID缺失或重复",INDEX('共享事件'!$A$2:$M$301,MATCH($B10,'共享事件'!$A$2:$A$301,0),2)))</x:f>
        <x:v>WMO宣布厄尔尼诺条件形成</x:v>
      </x:c>
      <x:c r="L10" s="18" t="n">
        <x:f>IF($B10="","",IF(COUNTIF('共享事件'!$A$2:$A$301,$B10)&lt;&gt;1,"事件ID缺失或重复",INDEX('共享事件'!$A$2:$M$301,MATCH($B10,'共享事件'!$A$2:$A$301,0),3)))</x:f>
        <x:v>2023</x:v>
      </x:c>
      <x:c r="M10" s="18" t="n">
        <x:f>IF($B10="","",IF(COUNTIF('共享事件'!$A$2:$A$301,$B10)&lt;&gt;1,"事件ID缺失或重复",INDEX('共享事件'!$A$2:$M$301,MATCH($B10,'共享事件'!$A$2:$A$301,0),4)))</x:f>
        <x:v>3</x:v>
      </x:c>
      <x:c r="N10" s="17" t="str">
        <x:f>IF($B10="","",IF(COUNTIF('共享事件'!$A$2:$A$301,$B10)&lt;&gt;1,"事件ID缺失或重复",INDEX('共享事件'!$A$2:$M$301,MATCH($B10,'共享事件'!$A$2:$A$301,0),7)))</x:f>
        <x:v>已发生</x:v>
      </x:c>
      <x:c r="O10" s="17" t="n">
        <x:f>IF($A10="",0,IF(AND($C10='季度总览'!$D$3,$L10='季度总览'!$B$3,OR('季度总览'!$F$3="全部",$D10='季度总览'!$F$3,$D10="全国",$D10="全球")),1,0))</x:f>
        <x:v>0</x:v>
      </x:c>
      <x:c r="P10" s="17" t="str">
        <x:f>IF($A10="","",$K10&amp;"【"&amp;$N10&amp;"】"&amp;CHAR(10)&amp;$D10&amp;"："&amp;$G10)</x:f>
        <x:v>WMO宣布厄尔尼诺条件形成【已发生】
全球：关注气源分配、装置运行和港口航运扰动</x:v>
      </x:c>
    </x:row>
    <x:row r="11">
      <x:c r="A11" s="25" t="str">
        <x:v>I010</x:v>
      </x:c>
      <x:c r="B11" s="25" t="str">
        <x:v>E004</x:v>
      </x:c>
      <x:c r="C11" s="25" t="str">
        <x:v>原油</x:v>
      </x:c>
      <x:c r="D11" s="25" t="str">
        <x:v>全球</x:v>
      </x:c>
      <x:c r="E11" s="25" t="str">
        <x:v>宏观与气候</x:v>
      </x:c>
      <x:c r="F11" s="25" t="str">
        <x:v>天气与油品需求</x:v>
      </x:c>
      <x:c r="G11" s="25" t="str">
        <x:v>关注天气对炼厂运行、运输和油品消费的影响</x:v>
      </x:c>
      <x:c r="H11" s="25" t="str">
        <x:v>炼厂开工、油品需求、运输中断</x:v>
      </x:c>
      <x:c r="I11" s="25" t="str">
        <x:v>天气扰动与OPEC供给、经济需求分别解释</x:v>
      </x:c>
      <x:c r="J11" s="25" t="str">
        <x:v>分区域与油品验证</x:v>
      </x:c>
      <x:c r="K11" s="17" t="str">
        <x:f>IF($B11="","",IF(COUNTIF('共享事件'!$A$2:$A$301,$B11)&lt;&gt;1,"事件ID缺失或重复",INDEX('共享事件'!$A$2:$M$301,MATCH($B11,'共享事件'!$A$2:$A$301,0),2)))</x:f>
        <x:v>WMO宣布厄尔尼诺条件形成</x:v>
      </x:c>
      <x:c r="L11" s="18" t="n">
        <x:f>IF($B11="","",IF(COUNTIF('共享事件'!$A$2:$A$301,$B11)&lt;&gt;1,"事件ID缺失或重复",INDEX('共享事件'!$A$2:$M$301,MATCH($B11,'共享事件'!$A$2:$A$301,0),3)))</x:f>
        <x:v>2023</x:v>
      </x:c>
      <x:c r="M11" s="18" t="n">
        <x:f>IF($B11="","",IF(COUNTIF('共享事件'!$A$2:$A$301,$B11)&lt;&gt;1,"事件ID缺失或重复",INDEX('共享事件'!$A$2:$M$301,MATCH($B11,'共享事件'!$A$2:$A$301,0),4)))</x:f>
        <x:v>3</x:v>
      </x:c>
      <x:c r="N11" s="17" t="str">
        <x:f>IF($B11="","",IF(COUNTIF('共享事件'!$A$2:$A$301,$B11)&lt;&gt;1,"事件ID缺失或重复",INDEX('共享事件'!$A$2:$M$301,MATCH($B11,'共享事件'!$A$2:$A$301,0),7)))</x:f>
        <x:v>已发生</x:v>
      </x:c>
      <x:c r="O11" s="17" t="n">
        <x:f>IF($A11="",0,IF(AND($C11='季度总览'!$D$3,$L11='季度总览'!$B$3,OR('季度总览'!$F$3="全部",$D11='季度总览'!$F$3,$D11="全国",$D11="全球")),1,0))</x:f>
        <x:v>0</x:v>
      </x:c>
      <x:c r="P11" s="17" t="str">
        <x:f>IF($A11="","",$K11&amp;"【"&amp;$N11&amp;"】"&amp;CHAR(10)&amp;$D11&amp;"："&amp;$G11)</x:f>
        <x:v>WMO宣布厄尔尼诺条件形成【已发生】
全球：关注天气对炼厂运行、运输和油品消费的影响</x:v>
      </x:c>
    </x:row>
    <x:row r="12">
      <x:c r="A12" s="25" t="str">
        <x:v>I011</x:v>
      </x:c>
      <x:c r="B12" s="25" t="str">
        <x:v>E005</x:v>
      </x:c>
      <x:c r="C12" s="25" t="str">
        <x:v>原油</x:v>
      </x:c>
      <x:c r="D12" s="25" t="str">
        <x:v>全球</x:v>
      </x:c>
      <x:c r="E12" s="25" t="str">
        <x:v>宏观与气候</x:v>
      </x:c>
      <x:c r="F12" s="25" t="str">
        <x:v>美元与需求预期</x:v>
      </x:c>
      <x:c r="G12" s="25" t="str">
        <x:v>利率变化影响美元计价和全球需求预期</x:v>
      </x:c>
      <x:c r="H12" s="25" t="str">
        <x:v>美元指数、实际利率、油品消费</x:v>
      </x:c>
      <x:c r="I12" s="25" t="str">
        <x:v>降息可能同时反映需求走弱，不预设油价必涨</x:v>
      </x:c>
      <x:c r="J12" s="25" t="str">
        <x:v>决议前后与后续数月</x:v>
      </x:c>
      <x:c r="K12" s="17" t="str">
        <x:f>IF($B12="","",IF(COUNTIF('共享事件'!$A$2:$A$301,$B12)&lt;&gt;1,"事件ID缺失或重复",INDEX('共享事件'!$A$2:$M$301,MATCH($B12,'共享事件'!$A$2:$A$301,0),2)))</x:f>
        <x:v>美联储降息50个基点</x:v>
      </x:c>
      <x:c r="L12" s="18" t="n">
        <x:f>IF($B12="","",IF(COUNTIF('共享事件'!$A$2:$A$301,$B12)&lt;&gt;1,"事件ID缺失或重复",INDEX('共享事件'!$A$2:$M$301,MATCH($B12,'共享事件'!$A$2:$A$301,0),3)))</x:f>
        <x:v>2024</x:v>
      </x:c>
      <x:c r="M12" s="18" t="n">
        <x:f>IF($B12="","",IF(COUNTIF('共享事件'!$A$2:$A$301,$B12)&lt;&gt;1,"事件ID缺失或重复",INDEX('共享事件'!$A$2:$M$301,MATCH($B12,'共享事件'!$A$2:$A$301,0),4)))</x:f>
        <x:v>3</x:v>
      </x:c>
      <x:c r="N12" s="17" t="str">
        <x:f>IF($B12="","",IF(COUNTIF('共享事件'!$A$2:$A$301,$B12)&lt;&gt;1,"事件ID缺失或重复",INDEX('共享事件'!$A$2:$M$301,MATCH($B12,'共享事件'!$A$2:$A$301,0),7)))</x:f>
        <x:v>已发生</x:v>
      </x:c>
      <x:c r="O12" s="17" t="n">
        <x:f>IF($A12="",0,IF(AND($C12='季度总览'!$D$3,$L12='季度总览'!$B$3,OR('季度总览'!$F$3="全部",$D12='季度总览'!$F$3,$D12="全国",$D12="全球")),1,0))</x:f>
        <x:v>0</x:v>
      </x:c>
      <x:c r="P12" s="17" t="str">
        <x:f>IF($A12="","",$K12&amp;"【"&amp;$N12&amp;"】"&amp;CHAR(10)&amp;$D12&amp;"："&amp;$G12)</x:f>
        <x:v>美联储降息50个基点【已发生】
全球：利率变化影响美元计价和全球需求预期</x:v>
      </x:c>
    </x:row>
    <x:row r="13">
      <x:c r="A13" s="25" t="str">
        <x:v>I012</x:v>
      </x:c>
      <x:c r="B13" s="25" t="str">
        <x:v>E005</x:v>
      </x:c>
      <x:c r="C13" s="25" t="str">
        <x:v>甲醇</x:v>
      </x:c>
      <x:c r="D13" s="25" t="str">
        <x:v>全球</x:v>
      </x:c>
      <x:c r="E13" s="25" t="str">
        <x:v>宏观与气候</x:v>
      </x:c>
      <x:c r="F13" s="25" t="str">
        <x:v>汇率与进口成本</x:v>
      </x:c>
      <x:c r="G13" s="25" t="str">
        <x:v>通过汇率、进口平价和化工需求传导</x:v>
      </x:c>
      <x:c r="H13" s="25" t="str">
        <x:v>美元兑人民币、CFR报价、进口利润</x:v>
      </x:c>
      <x:c r="I13" s="25" t="str">
        <x:v>美元利率变化不等于人民币进口成本必降</x:v>
      </x:c>
      <x:c r="J13" s="25" t="str">
        <x:v>采购定价与船期窗口</x:v>
      </x:c>
      <x:c r="K13" s="17" t="str">
        <x:f>IF($B13="","",IF(COUNTIF('共享事件'!$A$2:$A$301,$B13)&lt;&gt;1,"事件ID缺失或重复",INDEX('共享事件'!$A$2:$M$301,MATCH($B13,'共享事件'!$A$2:$A$301,0),2)))</x:f>
        <x:v>美联储降息50个基点</x:v>
      </x:c>
      <x:c r="L13" s="18" t="n">
        <x:f>IF($B13="","",IF(COUNTIF('共享事件'!$A$2:$A$301,$B13)&lt;&gt;1,"事件ID缺失或重复",INDEX('共享事件'!$A$2:$M$301,MATCH($B13,'共享事件'!$A$2:$A$301,0),3)))</x:f>
        <x:v>2024</x:v>
      </x:c>
      <x:c r="M13" s="18" t="n">
        <x:f>IF($B13="","",IF(COUNTIF('共享事件'!$A$2:$A$301,$B13)&lt;&gt;1,"事件ID缺失或重复",INDEX('共享事件'!$A$2:$M$301,MATCH($B13,'共享事件'!$A$2:$A$301,0),4)))</x:f>
        <x:v>3</x:v>
      </x:c>
      <x:c r="N13" s="17" t="str">
        <x:f>IF($B13="","",IF(COUNTIF('共享事件'!$A$2:$A$301,$B13)&lt;&gt;1,"事件ID缺失或重复",INDEX('共享事件'!$A$2:$M$301,MATCH($B13,'共享事件'!$A$2:$A$301,0),7)))</x:f>
        <x:v>已发生</x:v>
      </x:c>
      <x:c r="O13" s="17" t="n">
        <x:f>IF($A13="",0,IF(AND($C13='季度总览'!$D$3,$L13='季度总览'!$B$3,OR('季度总览'!$F$3="全部",$D13='季度总览'!$F$3,$D13="全国",$D13="全球")),1,0))</x:f>
        <x:v>0</x:v>
      </x:c>
      <x:c r="P13" s="17" t="str">
        <x:f>IF($A13="","",$K13&amp;"【"&amp;$N13&amp;"】"&amp;CHAR(10)&amp;$D13&amp;"："&amp;$G13)</x:f>
        <x:v>美联储降息50个基点【已发生】
全球：通过汇率、进口平价和化工需求传导</x:v>
      </x:c>
    </x:row>
    <x:row r="14">
      <x:c r="A14" s="25" t="str">
        <x:v>I013</x:v>
      </x:c>
      <x:c r="B14" s="25" t="str">
        <x:v>E005</x:v>
      </x:c>
      <x:c r="C14" s="25" t="str">
        <x:v>电力</x:v>
      </x:c>
      <x:c r="D14" s="25" t="str">
        <x:v>全国</x:v>
      </x:c>
      <x:c r="E14" s="25" t="str">
        <x:v>宏观与气候</x:v>
      </x:c>
      <x:c r="F14" s="25" t="str">
        <x:v>经济与燃料进口</x:v>
      </x:c>
      <x:c r="G14" s="25" t="str">
        <x:v>通过工业需求和燃料进口成本间接影响电力</x:v>
      </x:c>
      <x:c r="H14" s="25" t="str">
        <x:v>工业用电、汇率、进口煤与LNG成本</x:v>
      </x:c>
      <x:c r="I14" s="25" t="str">
        <x:v>国内电价仍受省内供需、时段和交易规则约束</x:v>
      </x:c>
      <x:c r="J14" s="25" t="str">
        <x:v>月度至季度</x:v>
      </x:c>
      <x:c r="K14" s="17" t="str">
        <x:f>IF($B14="","",IF(COUNTIF('共享事件'!$A$2:$A$301,$B14)&lt;&gt;1,"事件ID缺失或重复",INDEX('共享事件'!$A$2:$M$301,MATCH($B14,'共享事件'!$A$2:$A$301,0),2)))</x:f>
        <x:v>美联储降息50个基点</x:v>
      </x:c>
      <x:c r="L14" s="18" t="n">
        <x:f>IF($B14="","",IF(COUNTIF('共享事件'!$A$2:$A$301,$B14)&lt;&gt;1,"事件ID缺失或重复",INDEX('共享事件'!$A$2:$M$301,MATCH($B14,'共享事件'!$A$2:$A$301,0),3)))</x:f>
        <x:v>2024</x:v>
      </x:c>
      <x:c r="M14" s="18" t="n">
        <x:f>IF($B14="","",IF(COUNTIF('共享事件'!$A$2:$A$301,$B14)&lt;&gt;1,"事件ID缺失或重复",INDEX('共享事件'!$A$2:$M$301,MATCH($B14,'共享事件'!$A$2:$A$301,0),4)))</x:f>
        <x:v>3</x:v>
      </x:c>
      <x:c r="N14" s="17" t="str">
        <x:f>IF($B14="","",IF(COUNTIF('共享事件'!$A$2:$A$301,$B14)&lt;&gt;1,"事件ID缺失或重复",INDEX('共享事件'!$A$2:$M$301,MATCH($B14,'共享事件'!$A$2:$A$301,0),7)))</x:f>
        <x:v>已发生</x:v>
      </x:c>
      <x:c r="O14" s="17" t="n">
        <x:f>IF($A14="",0,IF(AND($C14='季度总览'!$D$3,$L14='季度总览'!$B$3,OR('季度总览'!$F$3="全部",$D14='季度总览'!$F$3,$D14="全国",$D14="全球")),1,0))</x:f>
        <x:v>0</x:v>
      </x:c>
      <x:c r="P14" s="17" t="str">
        <x:f>IF($A14="","",$K14&amp;"【"&amp;$N14&amp;"】"&amp;CHAR(10)&amp;$D14&amp;"："&amp;$G14)</x:f>
        <x:v>美联储降息50个基点【已发生】
全国：通过工业需求和燃料进口成本间接影响电力</x:v>
      </x:c>
    </x:row>
    <x:row r="15">
      <x:c r="A15" s="25" t="str">
        <x:v>I014</x:v>
      </x:c>
      <x:c r="B15" s="25" t="str">
        <x:v>E006</x:v>
      </x:c>
      <x:c r="C15" s="25" t="str">
        <x:v>电力</x:v>
      </x:c>
      <x:c r="D15" s="25" t="str">
        <x:v>甘肃</x:v>
      </x:c>
      <x:c r="E15" s="25" t="str">
        <x:v>输电与调节</x:v>
      </x:c>
      <x:c r="F15" s="25" t="str">
        <x:v>外送通道</x:v>
      </x:c>
      <x:c r="G15" s="25" t="str">
        <x:v>新增外送条件，有助于拓展送端电量消纳空间</x:v>
      </x:c>
      <x:c r="H15" s="25" t="str">
        <x:v>直流实际功率、配套电源、送电合同</x:v>
      </x:c>
      <x:c r="I15" s="25" t="str">
        <x:v>通道容量不等于新增实际外送电量</x:v>
      </x:c>
      <x:c r="J15" s="25" t="str">
        <x:v>投运后的爬坡与运行期</x:v>
      </x:c>
      <x:c r="K15" s="17" t="str">
        <x:f>IF($B15="","",IF(COUNTIF('共享事件'!$A$2:$A$301,$B15)&lt;&gt;1,"事件ID缺失或重复",INDEX('共享事件'!$A$2:$M$301,MATCH($B15,'共享事件'!$A$2:$A$301,0),2)))</x:f>
        <x:v>陇东至山东直流具备正式投运条件</x:v>
      </x:c>
      <x:c r="L15" s="18" t="n">
        <x:f>IF($B15="","",IF(COUNTIF('共享事件'!$A$2:$A$301,$B15)&lt;&gt;1,"事件ID缺失或重复",INDEX('共享事件'!$A$2:$M$301,MATCH($B15,'共享事件'!$A$2:$A$301,0),3)))</x:f>
        <x:v>2025</x:v>
      </x:c>
      <x:c r="M15" s="18" t="n">
        <x:f>IF($B15="","",IF(COUNTIF('共享事件'!$A$2:$A$301,$B15)&lt;&gt;1,"事件ID缺失或重复",INDEX('共享事件'!$A$2:$M$301,MATCH($B15,'共享事件'!$A$2:$A$301,0),4)))</x:f>
        <x:v>2</x:v>
      </x:c>
      <x:c r="N15" s="17" t="str">
        <x:f>IF($B15="","",IF(COUNTIF('共享事件'!$A$2:$A$301,$B15)&lt;&gt;1,"事件ID缺失或重复",INDEX('共享事件'!$A$2:$M$301,MATCH($B15,'共享事件'!$A$2:$A$301,0),7)))</x:f>
        <x:v>已发生</x:v>
      </x:c>
      <x:c r="O15" s="17" t="n">
        <x:f>IF($A15="",0,IF(AND($C15='季度总览'!$D$3,$L15='季度总览'!$B$3,OR('季度总览'!$F$3="全部",$D15='季度总览'!$F$3,$D15="全国",$D15="全球")),1,0))</x:f>
        <x:v>0</x:v>
      </x:c>
      <x:c r="P15" s="17" t="str">
        <x:f>IF($A15="","",$K15&amp;"【"&amp;$N15&amp;"】"&amp;CHAR(10)&amp;$D15&amp;"："&amp;$G15)</x:f>
        <x:v>陇东至山东直流具备正式投运条件【已发生】
甘肃：新增外送条件，有助于拓展送端电量消纳空间</x:v>
      </x:c>
    </x:row>
    <x:row r="16">
      <x:c r="A16" s="25" t="str">
        <x:v>I015</x:v>
      </x:c>
      <x:c r="B16" s="25" t="str">
        <x:v>E006</x:v>
      </x:c>
      <x:c r="C16" s="25" t="str">
        <x:v>电力</x:v>
      </x:c>
      <x:c r="D16" s="25" t="str">
        <x:v>山东</x:v>
      </x:c>
      <x:c r="E16" s="25" t="str">
        <x:v>输电与调节</x:v>
      </x:c>
      <x:c r="F16" s="25" t="str">
        <x:v>省外来电</x:v>
      </x:c>
      <x:c r="G16" s="25" t="str">
        <x:v>新增受电条件，改变省内电源剩余供电空间</x:v>
      </x:c>
      <x:c r="H16" s="25" t="str">
        <x:v>受电曲线、晚峰负荷、本地可用出力</x:v>
      </x:c>
      <x:c r="I16" s="25" t="str">
        <x:v>送受端影响方向分别判断，并考虑检修和合同</x:v>
      </x:c>
      <x:c r="J16" s="25" t="str">
        <x:v>投运后的爬坡与运行期</x:v>
      </x:c>
      <x:c r="K16" s="17" t="str">
        <x:f>IF($B16="","",IF(COUNTIF('共享事件'!$A$2:$A$301,$B16)&lt;&gt;1,"事件ID缺失或重复",INDEX('共享事件'!$A$2:$M$301,MATCH($B16,'共享事件'!$A$2:$A$301,0),2)))</x:f>
        <x:v>陇东至山东直流具备正式投运条件</x:v>
      </x:c>
      <x:c r="L16" s="18" t="n">
        <x:f>IF($B16="","",IF(COUNTIF('共享事件'!$A$2:$A$301,$B16)&lt;&gt;1,"事件ID缺失或重复",INDEX('共享事件'!$A$2:$M$301,MATCH($B16,'共享事件'!$A$2:$A$301,0),3)))</x:f>
        <x:v>2025</x:v>
      </x:c>
      <x:c r="M16" s="18" t="n">
        <x:f>IF($B16="","",IF(COUNTIF('共享事件'!$A$2:$A$301,$B16)&lt;&gt;1,"事件ID缺失或重复",INDEX('共享事件'!$A$2:$M$301,MATCH($B16,'共享事件'!$A$2:$A$301,0),4)))</x:f>
        <x:v>2</x:v>
      </x:c>
      <x:c r="N16" s="17" t="str">
        <x:f>IF($B16="","",IF(COUNTIF('共享事件'!$A$2:$A$301,$B16)&lt;&gt;1,"事件ID缺失或重复",INDEX('共享事件'!$A$2:$M$301,MATCH($B16,'共享事件'!$A$2:$A$301,0),7)))</x:f>
        <x:v>已发生</x:v>
      </x:c>
      <x:c r="O16" s="17" t="n">
        <x:f>IF($A16="",0,IF(AND($C16='季度总览'!$D$3,$L16='季度总览'!$B$3,OR('季度总览'!$F$3="全部",$D16='季度总览'!$F$3,$D16="全国",$D16="全球")),1,0))</x:f>
        <x:v>0</x:v>
      </x:c>
      <x:c r="P16" s="17" t="str">
        <x:f>IF($A16="","",$K16&amp;"【"&amp;$N16&amp;"】"&amp;CHAR(10)&amp;$D16&amp;"："&amp;$G16)</x:f>
        <x:v>陇东至山东直流具备正式投运条件【已发生】
山东：新增受电条件，改变省内电源剩余供电空间</x:v>
      </x:c>
    </x:row>
    <x:row r="17">
      <x:c r="A17" s="25" t="str">
        <x:v>I016</x:v>
      </x:c>
      <x:c r="B17" s="25" t="str">
        <x:v>E007</x:v>
      </x:c>
      <x:c r="C17" s="25" t="str">
        <x:v>电力</x:v>
      </x:c>
      <x:c r="D17" s="25" t="str">
        <x:v>辽宁</x:v>
      </x:c>
      <x:c r="E17" s="25" t="str">
        <x:v>供给</x:v>
      </x:c>
      <x:c r="F17" s="25" t="str">
        <x:v>核电投产进度</x:v>
      </x:c>
      <x:c r="G17" s="25" t="str">
        <x:v>调试节点推进，尚不能增加实际供给预测值</x:v>
      </x:c>
      <x:c r="H17" s="25" t="str">
        <x:v>装料、首次临界、并网、商运公告</x:v>
      </x:c>
      <x:c r="I17" s="25" t="str">
        <x:v>热试节点与可用容量分开记录</x:v>
      </x:c>
      <x:c r="J17" s="25" t="str">
        <x:v>后续建设与调试阶段</x:v>
      </x:c>
      <x:c r="K17" s="17" t="str">
        <x:f>IF($B17="","",IF(COUNTIF('共享事件'!$A$2:$A$301,$B17)&lt;&gt;1,"事件ID缺失或重复",INDEX('共享事件'!$A$2:$M$301,MATCH($B17,'共享事件'!$A$2:$A$301,0),2)))</x:f>
        <x:v>徐大堡3号机组完成热试</x:v>
      </x:c>
      <x:c r="L17" s="18" t="n">
        <x:f>IF($B17="","",IF(COUNTIF('共享事件'!$A$2:$A$301,$B17)&lt;&gt;1,"事件ID缺失或重复",INDEX('共享事件'!$A$2:$M$301,MATCH($B17,'共享事件'!$A$2:$A$301,0),3)))</x:f>
        <x:v>2026</x:v>
      </x:c>
      <x:c r="M17" s="18" t="n">
        <x:f>IF($B17="","",IF(COUNTIF('共享事件'!$A$2:$A$301,$B17)&lt;&gt;1,"事件ID缺失或重复",INDEX('共享事件'!$A$2:$M$301,MATCH($B17,'共享事件'!$A$2:$A$301,0),4)))</x:f>
        <x:v>2</x:v>
      </x:c>
      <x:c r="N17" s="17" t="str">
        <x:f>IF($B17="","",IF(COUNTIF('共享事件'!$A$2:$A$301,$B17)&lt;&gt;1,"事件ID缺失或重复",INDEX('共享事件'!$A$2:$M$301,MATCH($B17,'共享事件'!$A$2:$A$301,0),7)))</x:f>
        <x:v>已发生</x:v>
      </x:c>
      <x:c r="O17" s="17" t="n">
        <x:f>IF($A17="",0,IF(AND($C17='季度总览'!$D$3,$L17='季度总览'!$B$3,OR('季度总览'!$F$3="全部",$D17='季度总览'!$F$3,$D17="全国",$D17="全球")),1,0))</x:f>
        <x:v>1</x:v>
      </x:c>
      <x:c r="P17" s="17" t="str">
        <x:f>IF($A17="","",$K17&amp;"【"&amp;$N17&amp;"】"&amp;CHAR(10)&amp;$D17&amp;"："&amp;$G17)</x:f>
        <x:v>徐大堡3号机组完成热试【已发生】
辽宁：调试节点推进，尚不能增加实际供给预测值</x:v>
      </x:c>
    </x:row>
    <x:row r="18">
      <x:c r="A18" s="25" t="str">
        <x:v>I017</x:v>
      </x:c>
      <x:c r="B18" s="25" t="str">
        <x:v>E008</x:v>
      </x:c>
      <x:c r="C18" s="25" t="str">
        <x:v>电力</x:v>
      </x:c>
      <x:c r="D18" s="25" t="str">
        <x:v>辽宁</x:v>
      </x:c>
      <x:c r="E18" s="25" t="str">
        <x:v>输电与调节</x:v>
      </x:c>
      <x:c r="F18" s="25" t="str">
        <x:v>核电送出条件</x:v>
      </x:c>
      <x:c r="G18" s="25" t="str">
        <x:v>并网送出条件改善，当前节点用于设备调试</x:v>
      </x:c>
      <x:c r="H18" s="25" t="str">
        <x:v>送出工程投运、机组并网、上网电量</x:v>
      </x:c>
      <x:c r="I18" s="25" t="str">
        <x:v>反送电完成不等于核电开始发电</x:v>
      </x:c>
      <x:c r="J18" s="25" t="str">
        <x:v>调试及后续并网期</x:v>
      </x:c>
      <x:c r="K18" s="17" t="str">
        <x:f>IF($B18="","",IF(COUNTIF('共享事件'!$A$2:$A$301,$B18)&lt;&gt;1,"事件ID缺失或重复",INDEX('共享事件'!$A$2:$M$301,MATCH($B18,'共享事件'!$A$2:$A$301,0),2)))</x:f>
        <x:v>徐大堡一期送出工程成功送电</x:v>
      </x:c>
      <x:c r="L18" s="18" t="n">
        <x:f>IF($B18="","",IF(COUNTIF('共享事件'!$A$2:$A$301,$B18)&lt;&gt;1,"事件ID缺失或重复",INDEX('共享事件'!$A$2:$M$301,MATCH($B18,'共享事件'!$A$2:$A$301,0),3)))</x:f>
        <x:v>2026</x:v>
      </x:c>
      <x:c r="M18" s="18" t="n">
        <x:f>IF($B18="","",IF(COUNTIF('共享事件'!$A$2:$A$301,$B18)&lt;&gt;1,"事件ID缺失或重复",INDEX('共享事件'!$A$2:$M$301,MATCH($B18,'共享事件'!$A$2:$A$301,0),4)))</x:f>
        <x:v>2</x:v>
      </x:c>
      <x:c r="N18" s="17" t="str">
        <x:f>IF($B18="","",IF(COUNTIF('共享事件'!$A$2:$A$301,$B18)&lt;&gt;1,"事件ID缺失或重复",INDEX('共享事件'!$A$2:$M$301,MATCH($B18,'共享事件'!$A$2:$A$301,0),7)))</x:f>
        <x:v>已发生</x:v>
      </x:c>
      <x:c r="O18" s="17" t="n">
        <x:f>IF($A18="",0,IF(AND($C18='季度总览'!$D$3,$L18='季度总览'!$B$3,OR('季度总览'!$F$3="全部",$D18='季度总览'!$F$3,$D18="全国",$D18="全球")),1,0))</x:f>
        <x:v>1</x:v>
      </x:c>
      <x:c r="P18" s="17" t="str">
        <x:f>IF($A18="","",$K18&amp;"【"&amp;$N18&amp;"】"&amp;CHAR(10)&amp;$D18&amp;"："&amp;$G18)</x:f>
        <x:v>徐大堡一期送出工程成功送电【已发生】
辽宁：并网送出条件改善，当前节点用于设备调试</x:v>
      </x:c>
    </x:row>
    <x:row r="19">
      <x:c r="A19" s="25" t="str">
        <x:v>I018</x:v>
      </x:c>
      <x:c r="B19" s="25" t="str">
        <x:v>E009</x:v>
      </x:c>
      <x:c r="C19" s="25" t="str">
        <x:v>电力</x:v>
      </x:c>
      <x:c r="D19" s="25" t="str">
        <x:v>辽宁</x:v>
      </x:c>
      <x:c r="E19" s="25" t="str">
        <x:v>供给</x:v>
      </x:c>
      <x:c r="F19" s="25" t="str">
        <x:v>核电运行许可</x:v>
      </x:c>
      <x:c r="G19" s="25" t="str">
        <x:v>许可前检查完成，仍需跟踪许可及发电节点</x:v>
      </x:c>
      <x:c r="H19" s="25" t="str">
        <x:v>运行许可、装料、临界、并网公告</x:v>
      </x:c>
      <x:c r="I19" s="25" t="str">
        <x:v>检查报告不能代替许可或商业运行证明</x:v>
      </x:c>
      <x:c r="J19" s="25" t="str">
        <x:v>许可审批与调试阶段</x:v>
      </x:c>
      <x:c r="K19" s="17" t="str">
        <x:f>IF($B19="","",IF(COUNTIF('共享事件'!$A$2:$A$301,$B19)&lt;&gt;1,"事件ID缺失或重复",INDEX('共享事件'!$A$2:$M$301,MATCH($B19,'共享事件'!$A$2:$A$301,0),2)))</x:f>
        <x:v>徐大堡3号完成运行许可前综合检查</x:v>
      </x:c>
      <x:c r="L19" s="18" t="n">
        <x:f>IF($B19="","",IF(COUNTIF('共享事件'!$A$2:$A$301,$B19)&lt;&gt;1,"事件ID缺失或重复",INDEX('共享事件'!$A$2:$M$301,MATCH($B19,'共享事件'!$A$2:$A$301,0),3)))</x:f>
        <x:v>2026</x:v>
      </x:c>
      <x:c r="M19" s="18" t="n">
        <x:f>IF($B19="","",IF(COUNTIF('共享事件'!$A$2:$A$301,$B19)&lt;&gt;1,"事件ID缺失或重复",INDEX('共享事件'!$A$2:$M$301,MATCH($B19,'共享事件'!$A$2:$A$301,0),4)))</x:f>
        <x:v>4</x:v>
      </x:c>
      <x:c r="N19" s="17" t="str">
        <x:f>IF($B19="","",IF(COUNTIF('共享事件'!$A$2:$A$301,$B19)&lt;&gt;1,"事件ID缺失或重复",INDEX('共享事件'!$A$2:$M$301,MATCH($B19,'共享事件'!$A$2:$A$301,0),7)))</x:f>
        <x:v>已发生</x:v>
      </x:c>
      <x:c r="O19" s="17" t="n">
        <x:f>IF($A19="",0,IF(AND($C19='季度总览'!$D$3,$L19='季度总览'!$B$3,OR('季度总览'!$F$3="全部",$D19='季度总览'!$F$3,$D19="全国",$D19="全球")),1,0))</x:f>
        <x:v>1</x:v>
      </x:c>
      <x:c r="P19" s="17" t="str">
        <x:f>IF($A19="","",$K19&amp;"【"&amp;$N19&amp;"】"&amp;CHAR(10)&amp;$D19&amp;"："&amp;$G19)</x:f>
        <x:v>徐大堡3号完成运行许可前综合检查【已发生】
辽宁：许可前检查完成，仍需跟踪许可及发电节点</x:v>
      </x:c>
    </x:row>
    <x:row r="20">
      <x:c r="A20" s="25" t="str">
        <x:v>I019</x:v>
      </x:c>
      <x:c r="B20" s="25" t="str">
        <x:v>E010</x:v>
      </x:c>
      <x:c r="C20" s="25" t="str">
        <x:v>电力</x:v>
      </x:c>
      <x:c r="D20" s="25" t="str">
        <x:v>辽宁</x:v>
      </x:c>
      <x:c r="E20" s="25" t="str">
        <x:v>供给</x:v>
      </x:c>
      <x:c r="F20" s="25" t="str">
        <x:v>核电新增供给</x:v>
      </x:c>
      <x:c r="G20" s="25" t="str">
        <x:v>投运兑现后增加核电供给，压缩部分时段剩余需求</x:v>
      </x:c>
      <x:c r="H20" s="25" t="str">
        <x:v>实际上网电量、可用容量、检修、外送</x:v>
      </x:c>
      <x:c r="I20" s="25" t="str">
        <x:v>仅为年度计划；小时影响取决于负荷、风光和调度</x:v>
      </x:c>
      <x:c r="J20" s="25" t="str">
        <x:v>2027年，具体季度待公告</x:v>
      </x:c>
      <x:c r="K20" s="17" t="str">
        <x:f>IF($B20="","",IF(COUNTIF('共享事件'!$A$2:$A$301,$B20)&lt;&gt;1,"事件ID缺失或重复",INDEX('共享事件'!$A$2:$M$301,MATCH($B20,'共享事件'!$A$2:$A$301,0),2)))</x:f>
        <x:v>徐大堡3号机组计划建成</x:v>
      </x:c>
      <x:c r="L20" s="18" t="n">
        <x:f>IF($B20="","",IF(COUNTIF('共享事件'!$A$2:$A$301,$B20)&lt;&gt;1,"事件ID缺失或重复",INDEX('共享事件'!$A$2:$M$301,MATCH($B20,'共享事件'!$A$2:$A$301,0),3)))</x:f>
        <x:v>2027</x:v>
      </x:c>
      <x:c r="M20" s="18" t="n">
        <x:f>IF($B20="","",IF(COUNTIF('共享事件'!$A$2:$A$301,$B20)&lt;&gt;1,"事件ID缺失或重复",INDEX('共享事件'!$A$2:$M$301,MATCH($B20,'共享事件'!$A$2:$A$301,0),4)))</x:f>
        <x:v>0</x:v>
      </x:c>
      <x:c r="N20" s="17" t="str">
        <x:f>IF($B20="","",IF(COUNTIF('共享事件'!$A$2:$A$301,$B20)&lt;&gt;1,"事件ID缺失或重复",INDEX('共享事件'!$A$2:$M$301,MATCH($B20,'共享事件'!$A$2:$A$301,0),7)))</x:f>
        <x:v>计划</x:v>
      </x:c>
      <x:c r="O20" s="17" t="n">
        <x:f>IF($A20="",0,IF(AND($C20='季度总览'!$D$3,$L20='季度总览'!$B$3,OR('季度总览'!$F$3="全部",$D20='季度总览'!$F$3,$D20="全国",$D20="全球")),1,0))</x:f>
        <x:v>0</x:v>
      </x:c>
      <x:c r="P20" s="17" t="str">
        <x:f>IF($A20="","",$K20&amp;"【"&amp;$N20&amp;"】"&amp;CHAR(10)&amp;$D20&amp;"："&amp;$G20)</x:f>
        <x:v>徐大堡3号机组计划建成【计划】
辽宁：投运兑现后增加核电供给，压缩部分时段剩余需求</x:v>
      </x:c>
    </x:row>
    <x:row r="21">
      <x:c r="A21" s="25" t="str">
        <x:v>I020</x:v>
      </x:c>
      <x:c r="B21" s="25" t="str">
        <x:v>E010</x:v>
      </x:c>
      <x:c r="C21" s="25" t="str">
        <x:v>动力煤</x:v>
      </x:c>
      <x:c r="D21" s="25" t="str">
        <x:v>辽宁</x:v>
      </x:c>
      <x:c r="E21" s="25" t="str">
        <x:v>需求</x:v>
      </x:c>
      <x:c r="F21" s="25" t="str">
        <x:v>核电与煤电替代</x:v>
      </x:c>
      <x:c r="G21" s="25" t="str">
        <x:v>新增核电可能减少边际煤电发电及耗煤</x:v>
      </x:c>
      <x:c r="H21" s="25" t="str">
        <x:v>煤电利用小时、供热约束、电厂日耗</x:v>
      </x:c>
      <x:c r="I21" s="25" t="str">
        <x:v>供热刚性、需求增长和外送可抵消部分替代</x:v>
      </x:c>
      <x:c r="J21" s="25" t="str">
        <x:v>实际投运及爬坡后</x:v>
      </x:c>
      <x:c r="K21" s="17" t="str">
        <x:f>IF($B21="","",IF(COUNTIF('共享事件'!$A$2:$A$301,$B21)&lt;&gt;1,"事件ID缺失或重复",INDEX('共享事件'!$A$2:$M$301,MATCH($B21,'共享事件'!$A$2:$A$301,0),2)))</x:f>
        <x:v>徐大堡3号机组计划建成</x:v>
      </x:c>
      <x:c r="L21" s="18" t="n">
        <x:f>IF($B21="","",IF(COUNTIF('共享事件'!$A$2:$A$301,$B21)&lt;&gt;1,"事件ID缺失或重复",INDEX('共享事件'!$A$2:$M$301,MATCH($B21,'共享事件'!$A$2:$A$301,0),3)))</x:f>
        <x:v>2027</x:v>
      </x:c>
      <x:c r="M21" s="18" t="n">
        <x:f>IF($B21="","",IF(COUNTIF('共享事件'!$A$2:$A$301,$B21)&lt;&gt;1,"事件ID缺失或重复",INDEX('共享事件'!$A$2:$M$301,MATCH($B21,'共享事件'!$A$2:$A$301,0),4)))</x:f>
        <x:v>0</x:v>
      </x:c>
      <x:c r="N21" s="17" t="str">
        <x:f>IF($B21="","",IF(COUNTIF('共享事件'!$A$2:$A$301,$B21)&lt;&gt;1,"事件ID缺失或重复",INDEX('共享事件'!$A$2:$M$301,MATCH($B21,'共享事件'!$A$2:$A$301,0),7)))</x:f>
        <x:v>计划</x:v>
      </x:c>
      <x:c r="O21" s="17" t="n">
        <x:f>IF($A21="",0,IF(AND($C21='季度总览'!$D$3,$L21='季度总览'!$B$3,OR('季度总览'!$F$3="全部",$D21='季度总览'!$F$3,$D21="全国",$D21="全球")),1,0))</x:f>
        <x:v>0</x:v>
      </x:c>
      <x:c r="P21" s="17" t="str">
        <x:f>IF($A21="","",$K21&amp;"【"&amp;$N21&amp;"】"&amp;CHAR(10)&amp;$D21&amp;"："&amp;$G21)</x:f>
        <x:v>徐大堡3号机组计划建成【计划】
辽宁：新增核电可能减少边际煤电发电及耗煤</x:v>
      </x:c>
    </x:row>
    <x:row r="22">
      <x:c r="A22" s="25" t="str">
        <x:v>I021</x:v>
      </x:c>
      <x:c r="B22" s="25" t="str">
        <x:v>E011</x:v>
      </x:c>
      <x:c r="C22" s="25" t="str">
        <x:v>电力</x:v>
      </x:c>
      <x:c r="D22" s="25" t="str">
        <x:v>辽宁</x:v>
      </x:c>
      <x:c r="E22" s="25" t="str">
        <x:v>供给</x:v>
      </x:c>
      <x:c r="F22" s="25" t="str">
        <x:v>核电新增供给</x:v>
      </x:c>
      <x:c r="G22" s="25" t="str">
        <x:v>作为2028年供应增量跟踪，季度尚未确定</x:v>
      </x:c>
      <x:c r="H22" s="25" t="str">
        <x:v>并网与商运公告、实际出力</x:v>
      </x:c>
      <x:c r="I22" s="25" t="str">
        <x:v>与3号机组分开建档，按最新计划修订</x:v>
      </x:c>
      <x:c r="J22" s="25" t="str">
        <x:v>2028年，具体季度待公告</x:v>
      </x:c>
      <x:c r="K22" s="17" t="str">
        <x:f>IF($B22="","",IF(COUNTIF('共享事件'!$A$2:$A$301,$B22)&lt;&gt;1,"事件ID缺失或重复",INDEX('共享事件'!$A$2:$M$301,MATCH($B22,'共享事件'!$A$2:$A$301,0),2)))</x:f>
        <x:v>徐大堡4号机组计划建成</x:v>
      </x:c>
      <x:c r="L22" s="18" t="n">
        <x:f>IF($B22="","",IF(COUNTIF('共享事件'!$A$2:$A$301,$B22)&lt;&gt;1,"事件ID缺失或重复",INDEX('共享事件'!$A$2:$M$301,MATCH($B22,'共享事件'!$A$2:$A$301,0),3)))</x:f>
        <x:v>2028</x:v>
      </x:c>
      <x:c r="M22" s="18" t="n">
        <x:f>IF($B22="","",IF(COUNTIF('共享事件'!$A$2:$A$301,$B22)&lt;&gt;1,"事件ID缺失或重复",INDEX('共享事件'!$A$2:$M$301,MATCH($B22,'共享事件'!$A$2:$A$301,0),4)))</x:f>
        <x:v>0</x:v>
      </x:c>
      <x:c r="N22" s="17" t="str">
        <x:f>IF($B22="","",IF(COUNTIF('共享事件'!$A$2:$A$301,$B22)&lt;&gt;1,"事件ID缺失或重复",INDEX('共享事件'!$A$2:$M$301,MATCH($B22,'共享事件'!$A$2:$A$301,0),7)))</x:f>
        <x:v>计划</x:v>
      </x:c>
      <x:c r="O22" s="17" t="n">
        <x:f>IF($A22="",0,IF(AND($C22='季度总览'!$D$3,$L22='季度总览'!$B$3,OR('季度总览'!$F$3="全部",$D22='季度总览'!$F$3,$D22="全国",$D22="全球")),1,0))</x:f>
        <x:v>0</x:v>
      </x:c>
      <x:c r="P22" s="17" t="str">
        <x:f>IF($A22="","",$K22&amp;"【"&amp;$N22&amp;"】"&amp;CHAR(10)&amp;$D22&amp;"："&amp;$G22)</x:f>
        <x:v>徐大堡4号机组计划建成【计划】
辽宁：作为2028年供应增量跟踪，季度尚未确定</x:v>
      </x:c>
    </x:row>
    <x:row r="23">
      <x:c r="A23" s="25" t="str">
        <x:v>I022</x:v>
      </x:c>
      <x:c r="B23" s="25" t="str">
        <x:v>E012</x:v>
      </x:c>
      <x:c r="C23" s="25" t="str">
        <x:v>电力</x:v>
      </x:c>
      <x:c r="D23" s="25" t="str">
        <x:v>全国</x:v>
      </x:c>
      <x:c r="E23" s="25" t="str">
        <x:v>供给</x:v>
      </x:c>
      <x:c r="F23" s="25" t="str">
        <x:v>风能资源</x:v>
      </x:c>
      <x:c r="G23" s="25" t="str">
        <x:v>月均风速略低于常年，发电影响仍需区域验证</x:v>
      </x:c>
      <x:c r="H23" s="25" t="str">
        <x:v>100米风速、风功率曲线、装机与限电</x:v>
      </x:c>
      <x:c r="I23" s="25" t="str">
        <x:v>全国空间平均不能代作辽宁或甘肃；距平不同于同比</x:v>
      </x:c>
      <x:c r="J23" s="25" t="str">
        <x:v>2026年9月</x:v>
      </x:c>
      <x:c r="K23" s="17" t="str">
        <x:f>IF($B23="","",IF(COUNTIF('共享事件'!$A$2:$A$301,$B23)&lt;&gt;1,"事件ID缺失或重复",INDEX('共享事件'!$A$2:$M$301,MATCH($B23,'共享事件'!$A$2:$A$301,0),2)))</x:f>
        <x:v>全国9月100米月均风速略低于常年</x:v>
      </x:c>
      <x:c r="L23" s="18" t="n">
        <x:f>IF($B23="","",IF(COUNTIF('共享事件'!$A$2:$A$301,$B23)&lt;&gt;1,"事件ID缺失或重复",INDEX('共享事件'!$A$2:$M$301,MATCH($B23,'共享事件'!$A$2:$A$301,0),3)))</x:f>
        <x:v>2026</x:v>
      </x:c>
      <x:c r="M23" s="18" t="n">
        <x:f>IF($B23="","",IF(COUNTIF('共享事件'!$A$2:$A$301,$B23)&lt;&gt;1,"事件ID缺失或重复",INDEX('共享事件'!$A$2:$M$301,MATCH($B23,'共享事件'!$A$2:$A$301,0),4)))</x:f>
        <x:v>3</x:v>
      </x:c>
      <x:c r="N23" s="17" t="str">
        <x:f>IF($B23="","",IF(COUNTIF('共享事件'!$A$2:$A$301,$B23)&lt;&gt;1,"事件ID缺失或重复",INDEX('共享事件'!$A$2:$M$301,MATCH($B23,'共享事件'!$A$2:$A$301,0),7)))</x:f>
        <x:v>已发生</x:v>
      </x:c>
      <x:c r="O23" s="17" t="n">
        <x:f>IF($A23="",0,IF(AND($C23='季度总览'!$D$3,$L23='季度总览'!$B$3,OR('季度总览'!$F$3="全部",$D23='季度总览'!$F$3,$D23="全国",$D23="全球")),1,0))</x:f>
        <x:v>1</x:v>
      </x:c>
      <x:c r="P23" s="17" t="str">
        <x:f>IF($A23="","",$K23&amp;"【"&amp;$N23&amp;"】"&amp;CHAR(10)&amp;$D23&amp;"："&amp;$G23)</x:f>
        <x:v>全国9月100米月均风速略低于常年【已发生】
全国：月均风速略低于常年，发电影响仍需区域验证</x:v>
      </x:c>
    </x:row>
    <x:row r="24">
      <x:c r="A24"/>
      <x:c r="B24"/>
      <x:c r="C24"/>
      <x:c r="D24"/>
      <x:c r="E24"/>
      <x:c r="F24"/>
      <x:c r="G24"/>
      <x:c r="H24"/>
      <x:c r="I24"/>
      <x:c r="J24"/>
      <x:c r="K24" s="17" t="str">
        <x:f>IF($B24="","",IF(COUNTIF('共享事件'!$A$2:$A$301,$B24)&lt;&gt;1,"事件ID缺失或重复",INDEX('共享事件'!$A$2:$M$301,MATCH($B24,'共享事件'!$A$2:$A$301,0),2)))</x:f>
      </x:c>
      <x:c r="L24" s="18" t="str">
        <x:f>IF($B24="","",IF(COUNTIF('共享事件'!$A$2:$A$301,$B24)&lt;&gt;1,"事件ID缺失或重复",INDEX('共享事件'!$A$2:$M$301,MATCH($B24,'共享事件'!$A$2:$A$301,0),3)))</x:f>
      </x:c>
      <x:c r="M24" s="18" t="str">
        <x:f>IF($B24="","",IF(COUNTIF('共享事件'!$A$2:$A$301,$B24)&lt;&gt;1,"事件ID缺失或重复",INDEX('共享事件'!$A$2:$M$301,MATCH($B24,'共享事件'!$A$2:$A$301,0),4)))</x:f>
      </x:c>
      <x:c r="N24" s="17" t="str">
        <x:f>IF($B24="","",IF(COUNTIF('共享事件'!$A$2:$A$301,$B24)&lt;&gt;1,"事件ID缺失或重复",INDEX('共享事件'!$A$2:$M$301,MATCH($B24,'共享事件'!$A$2:$A$301,0),7)))</x:f>
      </x:c>
      <x:c r="O24" s="17" t="n">
        <x:f>IF($A24="",0,IF(AND($C24='季度总览'!$D$3,$L24='季度总览'!$B$3,OR('季度总览'!$F$3="全部",$D24='季度总览'!$F$3,$D24="全国",$D24="全球")),1,0))</x:f>
        <x:v>0</x:v>
      </x:c>
      <x:c r="P24" s="17" t="str">
        <x:f>IF($A24="","",$K24&amp;"【"&amp;$N24&amp;"】"&amp;CHAR(10)&amp;$D24&amp;"："&amp;$G24)</x:f>
      </x:c>
    </x:row>
    <x:row r="25">
      <x:c r="K25" s="17" t="str">
        <x:f>IF($B25="","",IF(COUNTIF('共享事件'!$A$2:$A$301,$B25)&lt;&gt;1,"事件ID缺失或重复",INDEX('共享事件'!$A$2:$M$301,MATCH($B25,'共享事件'!$A$2:$A$301,0),2)))</x:f>
      </x:c>
      <x:c r="L25" s="18" t="str">
        <x:f>IF($B25="","",IF(COUNTIF('共享事件'!$A$2:$A$301,$B25)&lt;&gt;1,"事件ID缺失或重复",INDEX('共享事件'!$A$2:$M$301,MATCH($B25,'共享事件'!$A$2:$A$301,0),3)))</x:f>
      </x:c>
      <x:c r="M25" s="18" t="str">
        <x:f>IF($B25="","",IF(COUNTIF('共享事件'!$A$2:$A$301,$B25)&lt;&gt;1,"事件ID缺失或重复",INDEX('共享事件'!$A$2:$M$301,MATCH($B25,'共享事件'!$A$2:$A$301,0),4)))</x:f>
      </x:c>
      <x:c r="N25" s="17" t="str">
        <x:f>IF($B25="","",IF(COUNTIF('共享事件'!$A$2:$A$301,$B25)&lt;&gt;1,"事件ID缺失或重复",INDEX('共享事件'!$A$2:$M$301,MATCH($B25,'共享事件'!$A$2:$A$301,0),7)))</x:f>
      </x:c>
      <x:c r="O25" s="17" t="n">
        <x:f>IF($A25="",0,IF(AND($C25='季度总览'!$D$3,$L25='季度总览'!$B$3,OR('季度总览'!$F$3="全部",$D25='季度总览'!$F$3,$D25="全国",$D25="全球")),1,0))</x:f>
        <x:v>0</x:v>
      </x:c>
      <x:c r="P25" s="17" t="str">
        <x:f>IF($A25="","",$K25&amp;"【"&amp;$N25&amp;"】"&amp;CHAR(10)&amp;$D25&amp;"："&amp;$G25)</x:f>
      </x:c>
    </x:row>
    <x:row r="26">
      <x:c r="K26" s="17" t="str">
        <x:f>IF($B26="","",IF(COUNTIF('共享事件'!$A$2:$A$301,$B26)&lt;&gt;1,"事件ID缺失或重复",INDEX('共享事件'!$A$2:$M$301,MATCH($B26,'共享事件'!$A$2:$A$301,0),2)))</x:f>
      </x:c>
      <x:c r="L26" s="18" t="str">
        <x:f>IF($B26="","",IF(COUNTIF('共享事件'!$A$2:$A$301,$B26)&lt;&gt;1,"事件ID缺失或重复",INDEX('共享事件'!$A$2:$M$301,MATCH($B26,'共享事件'!$A$2:$A$301,0),3)))</x:f>
      </x:c>
      <x:c r="M26" s="18" t="str">
        <x:f>IF($B26="","",IF(COUNTIF('共享事件'!$A$2:$A$301,$B26)&lt;&gt;1,"事件ID缺失或重复",INDEX('共享事件'!$A$2:$M$301,MATCH($B26,'共享事件'!$A$2:$A$301,0),4)))</x:f>
      </x:c>
      <x:c r="N26" s="17" t="str">
        <x:f>IF($B26="","",IF(COUNTIF('共享事件'!$A$2:$A$301,$B26)&lt;&gt;1,"事件ID缺失或重复",INDEX('共享事件'!$A$2:$M$301,MATCH($B26,'共享事件'!$A$2:$A$301,0),7)))</x:f>
      </x:c>
      <x:c r="O26" s="17" t="n">
        <x:f>IF($A26="",0,IF(AND($C26='季度总览'!$D$3,$L26='季度总览'!$B$3,OR('季度总览'!$F$3="全部",$D26='季度总览'!$F$3,$D26="全国",$D26="全球")),1,0))</x:f>
        <x:v>0</x:v>
      </x:c>
      <x:c r="P26" s="17" t="str">
        <x:f>IF($A26="","",$K26&amp;"【"&amp;$N26&amp;"】"&amp;CHAR(10)&amp;$D26&amp;"："&amp;$G26)</x:f>
      </x:c>
    </x:row>
    <x:row r="27">
      <x:c r="K27" s="17" t="str">
        <x:f>IF($B27="","",IF(COUNTIF('共享事件'!$A$2:$A$301,$B27)&lt;&gt;1,"事件ID缺失或重复",INDEX('共享事件'!$A$2:$M$301,MATCH($B27,'共享事件'!$A$2:$A$301,0),2)))</x:f>
      </x:c>
      <x:c r="L27" s="18" t="str">
        <x:f>IF($B27="","",IF(COUNTIF('共享事件'!$A$2:$A$301,$B27)&lt;&gt;1,"事件ID缺失或重复",INDEX('共享事件'!$A$2:$M$301,MATCH($B27,'共享事件'!$A$2:$A$301,0),3)))</x:f>
      </x:c>
      <x:c r="M27" s="18" t="str">
        <x:f>IF($B27="","",IF(COUNTIF('共享事件'!$A$2:$A$301,$B27)&lt;&gt;1,"事件ID缺失或重复",INDEX('共享事件'!$A$2:$M$301,MATCH($B27,'共享事件'!$A$2:$A$301,0),4)))</x:f>
      </x:c>
      <x:c r="N27" s="17" t="str">
        <x:f>IF($B27="","",IF(COUNTIF('共享事件'!$A$2:$A$301,$B27)&lt;&gt;1,"事件ID缺失或重复",INDEX('共享事件'!$A$2:$M$301,MATCH($B27,'共享事件'!$A$2:$A$301,0),7)))</x:f>
      </x:c>
      <x:c r="O27" s="17" t="n">
        <x:f>IF($A27="",0,IF(AND($C27='季度总览'!$D$3,$L27='季度总览'!$B$3,OR('季度总览'!$F$3="全部",$D27='季度总览'!$F$3,$D27="全国",$D27="全球")),1,0))</x:f>
        <x:v>0</x:v>
      </x:c>
      <x:c r="P27" s="17" t="str">
        <x:f>IF($A27="","",$K27&amp;"【"&amp;$N27&amp;"】"&amp;CHAR(10)&amp;$D27&amp;"："&amp;$G27)</x:f>
      </x:c>
    </x:row>
    <x:row r="28">
      <x:c r="K28" s="17" t="str">
        <x:f>IF($B28="","",IF(COUNTIF('共享事件'!$A$2:$A$301,$B28)&lt;&gt;1,"事件ID缺失或重复",INDEX('共享事件'!$A$2:$M$301,MATCH($B28,'共享事件'!$A$2:$A$301,0),2)))</x:f>
      </x:c>
      <x:c r="L28" s="18" t="str">
        <x:f>IF($B28="","",IF(COUNTIF('共享事件'!$A$2:$A$301,$B28)&lt;&gt;1,"事件ID缺失或重复",INDEX('共享事件'!$A$2:$M$301,MATCH($B28,'共享事件'!$A$2:$A$301,0),3)))</x:f>
      </x:c>
      <x:c r="M28" s="18" t="str">
        <x:f>IF($B28="","",IF(COUNTIF('共享事件'!$A$2:$A$301,$B28)&lt;&gt;1,"事件ID缺失或重复",INDEX('共享事件'!$A$2:$M$301,MATCH($B28,'共享事件'!$A$2:$A$301,0),4)))</x:f>
      </x:c>
      <x:c r="N28" s="17" t="str">
        <x:f>IF($B28="","",IF(COUNTIF('共享事件'!$A$2:$A$301,$B28)&lt;&gt;1,"事件ID缺失或重复",INDEX('共享事件'!$A$2:$M$301,MATCH($B28,'共享事件'!$A$2:$A$301,0),7)))</x:f>
      </x:c>
      <x:c r="O28" s="17" t="n">
        <x:f>IF($A28="",0,IF(AND($C28='季度总览'!$D$3,$L28='季度总览'!$B$3,OR('季度总览'!$F$3="全部",$D28='季度总览'!$F$3,$D28="全国",$D28="全球")),1,0))</x:f>
        <x:v>0</x:v>
      </x:c>
      <x:c r="P28" s="17" t="str">
        <x:f>IF($A28="","",$K28&amp;"【"&amp;$N28&amp;"】"&amp;CHAR(10)&amp;$D28&amp;"："&amp;$G28)</x:f>
      </x:c>
    </x:row>
    <x:row r="29">
      <x:c r="K29" s="17" t="str">
        <x:f>IF($B29="","",IF(COUNTIF('共享事件'!$A$2:$A$301,$B29)&lt;&gt;1,"事件ID缺失或重复",INDEX('共享事件'!$A$2:$M$301,MATCH($B29,'共享事件'!$A$2:$A$301,0),2)))</x:f>
      </x:c>
      <x:c r="L29" s="18" t="str">
        <x:f>IF($B29="","",IF(COUNTIF('共享事件'!$A$2:$A$301,$B29)&lt;&gt;1,"事件ID缺失或重复",INDEX('共享事件'!$A$2:$M$301,MATCH($B29,'共享事件'!$A$2:$A$301,0),3)))</x:f>
      </x:c>
      <x:c r="M29" s="18" t="str">
        <x:f>IF($B29="","",IF(COUNTIF('共享事件'!$A$2:$A$301,$B29)&lt;&gt;1,"事件ID缺失或重复",INDEX('共享事件'!$A$2:$M$301,MATCH($B29,'共享事件'!$A$2:$A$301,0),4)))</x:f>
      </x:c>
      <x:c r="N29" s="17" t="str">
        <x:f>IF($B29="","",IF(COUNTIF('共享事件'!$A$2:$A$301,$B29)&lt;&gt;1,"事件ID缺失或重复",INDEX('共享事件'!$A$2:$M$301,MATCH($B29,'共享事件'!$A$2:$A$301,0),7)))</x:f>
      </x:c>
      <x:c r="O29" s="17" t="n">
        <x:f>IF($A29="",0,IF(AND($C29='季度总览'!$D$3,$L29='季度总览'!$B$3,OR('季度总览'!$F$3="全部",$D29='季度总览'!$F$3,$D29="全国",$D29="全球")),1,0))</x:f>
        <x:v>0</x:v>
      </x:c>
      <x:c r="P29" s="17" t="str">
        <x:f>IF($A29="","",$K29&amp;"【"&amp;$N29&amp;"】"&amp;CHAR(10)&amp;$D29&amp;"："&amp;$G29)</x:f>
      </x:c>
    </x:row>
    <x:row r="30">
      <x:c r="K30" s="17" t="str">
        <x:f>IF($B30="","",IF(COUNTIF('共享事件'!$A$2:$A$301,$B30)&lt;&gt;1,"事件ID缺失或重复",INDEX('共享事件'!$A$2:$M$301,MATCH($B30,'共享事件'!$A$2:$A$301,0),2)))</x:f>
      </x:c>
      <x:c r="L30" s="18" t="str">
        <x:f>IF($B30="","",IF(COUNTIF('共享事件'!$A$2:$A$301,$B30)&lt;&gt;1,"事件ID缺失或重复",INDEX('共享事件'!$A$2:$M$301,MATCH($B30,'共享事件'!$A$2:$A$301,0),3)))</x:f>
      </x:c>
      <x:c r="M30" s="18" t="str">
        <x:f>IF($B30="","",IF(COUNTIF('共享事件'!$A$2:$A$301,$B30)&lt;&gt;1,"事件ID缺失或重复",INDEX('共享事件'!$A$2:$M$301,MATCH($B30,'共享事件'!$A$2:$A$301,0),4)))</x:f>
      </x:c>
      <x:c r="N30" s="17" t="str">
        <x:f>IF($B30="","",IF(COUNTIF('共享事件'!$A$2:$A$301,$B30)&lt;&gt;1,"事件ID缺失或重复",INDEX('共享事件'!$A$2:$M$301,MATCH($B30,'共享事件'!$A$2:$A$301,0),7)))</x:f>
      </x:c>
      <x:c r="O30" s="17" t="n">
        <x:f>IF($A30="",0,IF(AND($C30='季度总览'!$D$3,$L30='季度总览'!$B$3,OR('季度总览'!$F$3="全部",$D30='季度总览'!$F$3,$D30="全国",$D30="全球")),1,0))</x:f>
        <x:v>0</x:v>
      </x:c>
      <x:c r="P30" s="17" t="str">
        <x:f>IF($A30="","",$K30&amp;"【"&amp;$N30&amp;"】"&amp;CHAR(10)&amp;$D30&amp;"："&amp;$G30)</x:f>
      </x:c>
    </x:row>
    <x:row r="31">
      <x:c r="K31" s="17" t="str">
        <x:f>IF($B31="","",IF(COUNTIF('共享事件'!$A$2:$A$301,$B31)&lt;&gt;1,"事件ID缺失或重复",INDEX('共享事件'!$A$2:$M$301,MATCH($B31,'共享事件'!$A$2:$A$301,0),2)))</x:f>
      </x:c>
      <x:c r="L31" s="18" t="str">
        <x:f>IF($B31="","",IF(COUNTIF('共享事件'!$A$2:$A$301,$B31)&lt;&gt;1,"事件ID缺失或重复",INDEX('共享事件'!$A$2:$M$301,MATCH($B31,'共享事件'!$A$2:$A$301,0),3)))</x:f>
      </x:c>
      <x:c r="M31" s="18" t="str">
        <x:f>IF($B31="","",IF(COUNTIF('共享事件'!$A$2:$A$301,$B31)&lt;&gt;1,"事件ID缺失或重复",INDEX('共享事件'!$A$2:$M$301,MATCH($B31,'共享事件'!$A$2:$A$301,0),4)))</x:f>
      </x:c>
      <x:c r="N31" s="17" t="str">
        <x:f>IF($B31="","",IF(COUNTIF('共享事件'!$A$2:$A$301,$B31)&lt;&gt;1,"事件ID缺失或重复",INDEX('共享事件'!$A$2:$M$301,MATCH($B31,'共享事件'!$A$2:$A$301,0),7)))</x:f>
      </x:c>
      <x:c r="O31" s="17" t="n">
        <x:f>IF($A31="",0,IF(AND($C31='季度总览'!$D$3,$L31='季度总览'!$B$3,OR('季度总览'!$F$3="全部",$D31='季度总览'!$F$3,$D31="全国",$D31="全球")),1,0))</x:f>
        <x:v>0</x:v>
      </x:c>
      <x:c r="P31" s="17" t="str">
        <x:f>IF($A31="","",$K31&amp;"【"&amp;$N31&amp;"】"&amp;CHAR(10)&amp;$D31&amp;"："&amp;$G31)</x:f>
      </x:c>
    </x:row>
    <x:row r="32">
      <x:c r="K32" s="17" t="str">
        <x:f>IF($B32="","",IF(COUNTIF('共享事件'!$A$2:$A$301,$B32)&lt;&gt;1,"事件ID缺失或重复",INDEX('共享事件'!$A$2:$M$301,MATCH($B32,'共享事件'!$A$2:$A$301,0),2)))</x:f>
      </x:c>
      <x:c r="L32" s="18" t="str">
        <x:f>IF($B32="","",IF(COUNTIF('共享事件'!$A$2:$A$301,$B32)&lt;&gt;1,"事件ID缺失或重复",INDEX('共享事件'!$A$2:$M$301,MATCH($B32,'共享事件'!$A$2:$A$301,0),3)))</x:f>
      </x:c>
      <x:c r="M32" s="18" t="str">
        <x:f>IF($B32="","",IF(COUNTIF('共享事件'!$A$2:$A$301,$B32)&lt;&gt;1,"事件ID缺失或重复",INDEX('共享事件'!$A$2:$M$301,MATCH($B32,'共享事件'!$A$2:$A$301,0),4)))</x:f>
      </x:c>
      <x:c r="N32" s="17" t="str">
        <x:f>IF($B32="","",IF(COUNTIF('共享事件'!$A$2:$A$301,$B32)&lt;&gt;1,"事件ID缺失或重复",INDEX('共享事件'!$A$2:$M$301,MATCH($B32,'共享事件'!$A$2:$A$301,0),7)))</x:f>
      </x:c>
      <x:c r="O32" s="17" t="n">
        <x:f>IF($A32="",0,IF(AND($C32='季度总览'!$D$3,$L32='季度总览'!$B$3,OR('季度总览'!$F$3="全部",$D32='季度总览'!$F$3,$D32="全国",$D32="全球")),1,0))</x:f>
        <x:v>0</x:v>
      </x:c>
      <x:c r="P32" s="17" t="str">
        <x:f>IF($A32="","",$K32&amp;"【"&amp;$N32&amp;"】"&amp;CHAR(10)&amp;$D32&amp;"："&amp;$G32)</x:f>
      </x:c>
    </x:row>
    <x:row r="33">
      <x:c r="K33" s="17" t="str">
        <x:f>IF($B33="","",IF(COUNTIF('共享事件'!$A$2:$A$301,$B33)&lt;&gt;1,"事件ID缺失或重复",INDEX('共享事件'!$A$2:$M$301,MATCH($B33,'共享事件'!$A$2:$A$301,0),2)))</x:f>
      </x:c>
      <x:c r="L33" s="18" t="str">
        <x:f>IF($B33="","",IF(COUNTIF('共享事件'!$A$2:$A$301,$B33)&lt;&gt;1,"事件ID缺失或重复",INDEX('共享事件'!$A$2:$M$301,MATCH($B33,'共享事件'!$A$2:$A$301,0),3)))</x:f>
      </x:c>
      <x:c r="M33" s="18" t="str">
        <x:f>IF($B33="","",IF(COUNTIF('共享事件'!$A$2:$A$301,$B33)&lt;&gt;1,"事件ID缺失或重复",INDEX('共享事件'!$A$2:$M$301,MATCH($B33,'共享事件'!$A$2:$A$301,0),4)))</x:f>
      </x:c>
      <x:c r="N33" s="17" t="str">
        <x:f>IF($B33="","",IF(COUNTIF('共享事件'!$A$2:$A$301,$B33)&lt;&gt;1,"事件ID缺失或重复",INDEX('共享事件'!$A$2:$M$301,MATCH($B33,'共享事件'!$A$2:$A$301,0),7)))</x:f>
      </x:c>
      <x:c r="O33" s="17" t="n">
        <x:f>IF($A33="",0,IF(AND($C33='季度总览'!$D$3,$L33='季度总览'!$B$3,OR('季度总览'!$F$3="全部",$D33='季度总览'!$F$3,$D33="全国",$D33="全球")),1,0))</x:f>
        <x:v>0</x:v>
      </x:c>
      <x:c r="P33" s="17" t="str">
        <x:f>IF($A33="","",$K33&amp;"【"&amp;$N33&amp;"】"&amp;CHAR(10)&amp;$D33&amp;"："&amp;$G33)</x:f>
      </x:c>
    </x:row>
    <x:row r="34">
      <x:c r="K34" s="17" t="str">
        <x:f>IF($B34="","",IF(COUNTIF('共享事件'!$A$2:$A$301,$B34)&lt;&gt;1,"事件ID缺失或重复",INDEX('共享事件'!$A$2:$M$301,MATCH($B34,'共享事件'!$A$2:$A$301,0),2)))</x:f>
      </x:c>
      <x:c r="L34" s="18" t="str">
        <x:f>IF($B34="","",IF(COUNTIF('共享事件'!$A$2:$A$301,$B34)&lt;&gt;1,"事件ID缺失或重复",INDEX('共享事件'!$A$2:$M$301,MATCH($B34,'共享事件'!$A$2:$A$301,0),3)))</x:f>
      </x:c>
      <x:c r="M34" s="18" t="str">
        <x:f>IF($B34="","",IF(COUNTIF('共享事件'!$A$2:$A$301,$B34)&lt;&gt;1,"事件ID缺失或重复",INDEX('共享事件'!$A$2:$M$301,MATCH($B34,'共享事件'!$A$2:$A$301,0),4)))</x:f>
      </x:c>
      <x:c r="N34" s="17" t="str">
        <x:f>IF($B34="","",IF(COUNTIF('共享事件'!$A$2:$A$301,$B34)&lt;&gt;1,"事件ID缺失或重复",INDEX('共享事件'!$A$2:$M$301,MATCH($B34,'共享事件'!$A$2:$A$301,0),7)))</x:f>
      </x:c>
      <x:c r="O34" s="17" t="n">
        <x:f>IF($A34="",0,IF(AND($C34='季度总览'!$D$3,$L34='季度总览'!$B$3,OR('季度总览'!$F$3="全部",$D34='季度总览'!$F$3,$D34="全国",$D34="全球")),1,0))</x:f>
        <x:v>0</x:v>
      </x:c>
      <x:c r="P34" s="17" t="str">
        <x:f>IF($A34="","",$K34&amp;"【"&amp;$N34&amp;"】"&amp;CHAR(10)&amp;$D34&amp;"："&amp;$G34)</x:f>
      </x:c>
    </x:row>
    <x:row r="35">
      <x:c r="K35" s="17" t="str">
        <x:f>IF($B35="","",IF(COUNTIF('共享事件'!$A$2:$A$301,$B35)&lt;&gt;1,"事件ID缺失或重复",INDEX('共享事件'!$A$2:$M$301,MATCH($B35,'共享事件'!$A$2:$A$301,0),2)))</x:f>
      </x:c>
      <x:c r="L35" s="18" t="str">
        <x:f>IF($B35="","",IF(COUNTIF('共享事件'!$A$2:$A$301,$B35)&lt;&gt;1,"事件ID缺失或重复",INDEX('共享事件'!$A$2:$M$301,MATCH($B35,'共享事件'!$A$2:$A$301,0),3)))</x:f>
      </x:c>
      <x:c r="M35" s="18" t="str">
        <x:f>IF($B35="","",IF(COUNTIF('共享事件'!$A$2:$A$301,$B35)&lt;&gt;1,"事件ID缺失或重复",INDEX('共享事件'!$A$2:$M$301,MATCH($B35,'共享事件'!$A$2:$A$301,0),4)))</x:f>
      </x:c>
      <x:c r="N35" s="17" t="str">
        <x:f>IF($B35="","",IF(COUNTIF('共享事件'!$A$2:$A$301,$B35)&lt;&gt;1,"事件ID缺失或重复",INDEX('共享事件'!$A$2:$M$301,MATCH($B35,'共享事件'!$A$2:$A$301,0),7)))</x:f>
      </x:c>
      <x:c r="O35" s="17" t="n">
        <x:f>IF($A35="",0,IF(AND($C35='季度总览'!$D$3,$L35='季度总览'!$B$3,OR('季度总览'!$F$3="全部",$D35='季度总览'!$F$3,$D35="全国",$D35="全球")),1,0))</x:f>
        <x:v>0</x:v>
      </x:c>
      <x:c r="P35" s="17" t="str">
        <x:f>IF($A35="","",$K35&amp;"【"&amp;$N35&amp;"】"&amp;CHAR(10)&amp;$D35&amp;"："&amp;$G35)</x:f>
      </x:c>
    </x:row>
    <x:row r="36">
      <x:c r="K36" s="17" t="str">
        <x:f>IF($B36="","",IF(COUNTIF('共享事件'!$A$2:$A$301,$B36)&lt;&gt;1,"事件ID缺失或重复",INDEX('共享事件'!$A$2:$M$301,MATCH($B36,'共享事件'!$A$2:$A$301,0),2)))</x:f>
      </x:c>
      <x:c r="L36" s="18" t="str">
        <x:f>IF($B36="","",IF(COUNTIF('共享事件'!$A$2:$A$301,$B36)&lt;&gt;1,"事件ID缺失或重复",INDEX('共享事件'!$A$2:$M$301,MATCH($B36,'共享事件'!$A$2:$A$301,0),3)))</x:f>
      </x:c>
      <x:c r="M36" s="18" t="str">
        <x:f>IF($B36="","",IF(COUNTIF('共享事件'!$A$2:$A$301,$B36)&lt;&gt;1,"事件ID缺失或重复",INDEX('共享事件'!$A$2:$M$301,MATCH($B36,'共享事件'!$A$2:$A$301,0),4)))</x:f>
      </x:c>
      <x:c r="N36" s="17" t="str">
        <x:f>IF($B36="","",IF(COUNTIF('共享事件'!$A$2:$A$301,$B36)&lt;&gt;1,"事件ID缺失或重复",INDEX('共享事件'!$A$2:$M$301,MATCH($B36,'共享事件'!$A$2:$A$301,0),7)))</x:f>
      </x:c>
      <x:c r="O36" s="17" t="n">
        <x:f>IF($A36="",0,IF(AND($C36='季度总览'!$D$3,$L36='季度总览'!$B$3,OR('季度总览'!$F$3="全部",$D36='季度总览'!$F$3,$D36="全国",$D36="全球")),1,0))</x:f>
        <x:v>0</x:v>
      </x:c>
      <x:c r="P36" s="17" t="str">
        <x:f>IF($A36="","",$K36&amp;"【"&amp;$N36&amp;"】"&amp;CHAR(10)&amp;$D36&amp;"："&amp;$G36)</x:f>
      </x:c>
    </x:row>
    <x:row r="37">
      <x:c r="K37" s="17" t="str">
        <x:f>IF($B37="","",IF(COUNTIF('共享事件'!$A$2:$A$301,$B37)&lt;&gt;1,"事件ID缺失或重复",INDEX('共享事件'!$A$2:$M$301,MATCH($B37,'共享事件'!$A$2:$A$301,0),2)))</x:f>
      </x:c>
      <x:c r="L37" s="18" t="str">
        <x:f>IF($B37="","",IF(COUNTIF('共享事件'!$A$2:$A$301,$B37)&lt;&gt;1,"事件ID缺失或重复",INDEX('共享事件'!$A$2:$M$301,MATCH($B37,'共享事件'!$A$2:$A$301,0),3)))</x:f>
      </x:c>
      <x:c r="M37" s="18" t="str">
        <x:f>IF($B37="","",IF(COUNTIF('共享事件'!$A$2:$A$301,$B37)&lt;&gt;1,"事件ID缺失或重复",INDEX('共享事件'!$A$2:$M$301,MATCH($B37,'共享事件'!$A$2:$A$301,0),4)))</x:f>
      </x:c>
      <x:c r="N37" s="17" t="str">
        <x:f>IF($B37="","",IF(COUNTIF('共享事件'!$A$2:$A$301,$B37)&lt;&gt;1,"事件ID缺失或重复",INDEX('共享事件'!$A$2:$M$301,MATCH($B37,'共享事件'!$A$2:$A$301,0),7)))</x:f>
      </x:c>
      <x:c r="O37" s="17" t="n">
        <x:f>IF($A37="",0,IF(AND($C37='季度总览'!$D$3,$L37='季度总览'!$B$3,OR('季度总览'!$F$3="全部",$D37='季度总览'!$F$3,$D37="全国",$D37="全球")),1,0))</x:f>
        <x:v>0</x:v>
      </x:c>
      <x:c r="P37" s="17" t="str">
        <x:f>IF($A37="","",$K37&amp;"【"&amp;$N37&amp;"】"&amp;CHAR(10)&amp;$D37&amp;"："&amp;$G37)</x:f>
      </x:c>
    </x:row>
    <x:row r="38">
      <x:c r="K38" s="17" t="str">
        <x:f>IF($B38="","",IF(COUNTIF('共享事件'!$A$2:$A$301,$B38)&lt;&gt;1,"事件ID缺失或重复",INDEX('共享事件'!$A$2:$M$301,MATCH($B38,'共享事件'!$A$2:$A$301,0),2)))</x:f>
      </x:c>
      <x:c r="L38" s="18" t="str">
        <x:f>IF($B38="","",IF(COUNTIF('共享事件'!$A$2:$A$301,$B38)&lt;&gt;1,"事件ID缺失或重复",INDEX('共享事件'!$A$2:$M$301,MATCH($B38,'共享事件'!$A$2:$A$301,0),3)))</x:f>
      </x:c>
      <x:c r="M38" s="18" t="str">
        <x:f>IF($B38="","",IF(COUNTIF('共享事件'!$A$2:$A$301,$B38)&lt;&gt;1,"事件ID缺失或重复",INDEX('共享事件'!$A$2:$M$301,MATCH($B38,'共享事件'!$A$2:$A$301,0),4)))</x:f>
      </x:c>
      <x:c r="N38" s="17" t="str">
        <x:f>IF($B38="","",IF(COUNTIF('共享事件'!$A$2:$A$301,$B38)&lt;&gt;1,"事件ID缺失或重复",INDEX('共享事件'!$A$2:$M$301,MATCH($B38,'共享事件'!$A$2:$A$301,0),7)))</x:f>
      </x:c>
      <x:c r="O38" s="17" t="n">
        <x:f>IF($A38="",0,IF(AND($C38='季度总览'!$D$3,$L38='季度总览'!$B$3,OR('季度总览'!$F$3="全部",$D38='季度总览'!$F$3,$D38="全国",$D38="全球")),1,0))</x:f>
        <x:v>0</x:v>
      </x:c>
      <x:c r="P38" s="17" t="str">
        <x:f>IF($A38="","",$K38&amp;"【"&amp;$N38&amp;"】"&amp;CHAR(10)&amp;$D38&amp;"："&amp;$G38)</x:f>
      </x:c>
    </x:row>
    <x:row r="39">
      <x:c r="K39" s="17" t="str">
        <x:f>IF($B39="","",IF(COUNTIF('共享事件'!$A$2:$A$301,$B39)&lt;&gt;1,"事件ID缺失或重复",INDEX('共享事件'!$A$2:$M$301,MATCH($B39,'共享事件'!$A$2:$A$301,0),2)))</x:f>
      </x:c>
      <x:c r="L39" s="18" t="str">
        <x:f>IF($B39="","",IF(COUNTIF('共享事件'!$A$2:$A$301,$B39)&lt;&gt;1,"事件ID缺失或重复",INDEX('共享事件'!$A$2:$M$301,MATCH($B39,'共享事件'!$A$2:$A$301,0),3)))</x:f>
      </x:c>
      <x:c r="M39" s="18" t="str">
        <x:f>IF($B39="","",IF(COUNTIF('共享事件'!$A$2:$A$301,$B39)&lt;&gt;1,"事件ID缺失或重复",INDEX('共享事件'!$A$2:$M$301,MATCH($B39,'共享事件'!$A$2:$A$301,0),4)))</x:f>
      </x:c>
      <x:c r="N39" s="17" t="str">
        <x:f>IF($B39="","",IF(COUNTIF('共享事件'!$A$2:$A$301,$B39)&lt;&gt;1,"事件ID缺失或重复",INDEX('共享事件'!$A$2:$M$301,MATCH($B39,'共享事件'!$A$2:$A$301,0),7)))</x:f>
      </x:c>
      <x:c r="O39" s="17" t="n">
        <x:f>IF($A39="",0,IF(AND($C39='季度总览'!$D$3,$L39='季度总览'!$B$3,OR('季度总览'!$F$3="全部",$D39='季度总览'!$F$3,$D39="全国",$D39="全球")),1,0))</x:f>
        <x:v>0</x:v>
      </x:c>
      <x:c r="P39" s="17" t="str">
        <x:f>IF($A39="","",$K39&amp;"【"&amp;$N39&amp;"】"&amp;CHAR(10)&amp;$D39&amp;"："&amp;$G39)</x:f>
      </x:c>
    </x:row>
    <x:row r="40">
      <x:c r="K40" s="17" t="str">
        <x:f>IF($B40="","",IF(COUNTIF('共享事件'!$A$2:$A$301,$B40)&lt;&gt;1,"事件ID缺失或重复",INDEX('共享事件'!$A$2:$M$301,MATCH($B40,'共享事件'!$A$2:$A$301,0),2)))</x:f>
      </x:c>
      <x:c r="L40" s="18" t="str">
        <x:f>IF($B40="","",IF(COUNTIF('共享事件'!$A$2:$A$301,$B40)&lt;&gt;1,"事件ID缺失或重复",INDEX('共享事件'!$A$2:$M$301,MATCH($B40,'共享事件'!$A$2:$A$301,0),3)))</x:f>
      </x:c>
      <x:c r="M40" s="18" t="str">
        <x:f>IF($B40="","",IF(COUNTIF('共享事件'!$A$2:$A$301,$B40)&lt;&gt;1,"事件ID缺失或重复",INDEX('共享事件'!$A$2:$M$301,MATCH($B40,'共享事件'!$A$2:$A$301,0),4)))</x:f>
      </x:c>
      <x:c r="N40" s="17" t="str">
        <x:f>IF($B40="","",IF(COUNTIF('共享事件'!$A$2:$A$301,$B40)&lt;&gt;1,"事件ID缺失或重复",INDEX('共享事件'!$A$2:$M$301,MATCH($B40,'共享事件'!$A$2:$A$301,0),7)))</x:f>
      </x:c>
      <x:c r="O40" s="17" t="n">
        <x:f>IF($A40="",0,IF(AND($C40='季度总览'!$D$3,$L40='季度总览'!$B$3,OR('季度总览'!$F$3="全部",$D40='季度总览'!$F$3,$D40="全国",$D40="全球")),1,0))</x:f>
        <x:v>0</x:v>
      </x:c>
      <x:c r="P40" s="17" t="str">
        <x:f>IF($A40="","",$K40&amp;"【"&amp;$N40&amp;"】"&amp;CHAR(10)&amp;$D40&amp;"："&amp;$G40)</x:f>
      </x:c>
    </x:row>
    <x:row r="41">
      <x:c r="K41" s="17" t="str">
        <x:f>IF($B41="","",IF(COUNTIF('共享事件'!$A$2:$A$301,$B41)&lt;&gt;1,"事件ID缺失或重复",INDEX('共享事件'!$A$2:$M$301,MATCH($B41,'共享事件'!$A$2:$A$301,0),2)))</x:f>
      </x:c>
      <x:c r="L41" s="18" t="str">
        <x:f>IF($B41="","",IF(COUNTIF('共享事件'!$A$2:$A$301,$B41)&lt;&gt;1,"事件ID缺失或重复",INDEX('共享事件'!$A$2:$M$301,MATCH($B41,'共享事件'!$A$2:$A$301,0),3)))</x:f>
      </x:c>
      <x:c r="M41" s="18" t="str">
        <x:f>IF($B41="","",IF(COUNTIF('共享事件'!$A$2:$A$301,$B41)&lt;&gt;1,"事件ID缺失或重复",INDEX('共享事件'!$A$2:$M$301,MATCH($B41,'共享事件'!$A$2:$A$301,0),4)))</x:f>
      </x:c>
      <x:c r="N41" s="17" t="str">
        <x:f>IF($B41="","",IF(COUNTIF('共享事件'!$A$2:$A$301,$B41)&lt;&gt;1,"事件ID缺失或重复",INDEX('共享事件'!$A$2:$M$301,MATCH($B41,'共享事件'!$A$2:$A$301,0),7)))</x:f>
      </x:c>
      <x:c r="O41" s="17" t="n">
        <x:f>IF($A41="",0,IF(AND($C41='季度总览'!$D$3,$L41='季度总览'!$B$3,OR('季度总览'!$F$3="全部",$D41='季度总览'!$F$3,$D41="全国",$D41="全球")),1,0))</x:f>
        <x:v>0</x:v>
      </x:c>
      <x:c r="P41" s="17" t="str">
        <x:f>IF($A41="","",$K41&amp;"【"&amp;$N41&amp;"】"&amp;CHAR(10)&amp;$D41&amp;"："&amp;$G41)</x:f>
      </x:c>
    </x:row>
    <x:row r="42">
      <x:c r="K42" s="17" t="str">
        <x:f>IF($B42="","",IF(COUNTIF('共享事件'!$A$2:$A$301,$B42)&lt;&gt;1,"事件ID缺失或重复",INDEX('共享事件'!$A$2:$M$301,MATCH($B42,'共享事件'!$A$2:$A$301,0),2)))</x:f>
      </x:c>
      <x:c r="L42" s="18" t="str">
        <x:f>IF($B42="","",IF(COUNTIF('共享事件'!$A$2:$A$301,$B42)&lt;&gt;1,"事件ID缺失或重复",INDEX('共享事件'!$A$2:$M$301,MATCH($B42,'共享事件'!$A$2:$A$301,0),3)))</x:f>
      </x:c>
      <x:c r="M42" s="18" t="str">
        <x:f>IF($B42="","",IF(COUNTIF('共享事件'!$A$2:$A$301,$B42)&lt;&gt;1,"事件ID缺失或重复",INDEX('共享事件'!$A$2:$M$301,MATCH($B42,'共享事件'!$A$2:$A$301,0),4)))</x:f>
      </x:c>
      <x:c r="N42" s="17" t="str">
        <x:f>IF($B42="","",IF(COUNTIF('共享事件'!$A$2:$A$301,$B42)&lt;&gt;1,"事件ID缺失或重复",INDEX('共享事件'!$A$2:$M$301,MATCH($B42,'共享事件'!$A$2:$A$301,0),7)))</x:f>
      </x:c>
      <x:c r="O42" s="17" t="n">
        <x:f>IF($A42="",0,IF(AND($C42='季度总览'!$D$3,$L42='季度总览'!$B$3,OR('季度总览'!$F$3="全部",$D42='季度总览'!$F$3,$D42="全国",$D42="全球")),1,0))</x:f>
        <x:v>0</x:v>
      </x:c>
      <x:c r="P42" s="17" t="str">
        <x:f>IF($A42="","",$K42&amp;"【"&amp;$N42&amp;"】"&amp;CHAR(10)&amp;$D42&amp;"："&amp;$G42)</x:f>
      </x:c>
    </x:row>
    <x:row r="43">
      <x:c r="K43" s="17" t="str">
        <x:f>IF($B43="","",IF(COUNTIF('共享事件'!$A$2:$A$301,$B43)&lt;&gt;1,"事件ID缺失或重复",INDEX('共享事件'!$A$2:$M$301,MATCH($B43,'共享事件'!$A$2:$A$301,0),2)))</x:f>
      </x:c>
      <x:c r="L43" s="18" t="str">
        <x:f>IF($B43="","",IF(COUNTIF('共享事件'!$A$2:$A$301,$B43)&lt;&gt;1,"事件ID缺失或重复",INDEX('共享事件'!$A$2:$M$301,MATCH($B43,'共享事件'!$A$2:$A$301,0),3)))</x:f>
      </x:c>
      <x:c r="M43" s="18" t="str">
        <x:f>IF($B43="","",IF(COUNTIF('共享事件'!$A$2:$A$301,$B43)&lt;&gt;1,"事件ID缺失或重复",INDEX('共享事件'!$A$2:$M$301,MATCH($B43,'共享事件'!$A$2:$A$301,0),4)))</x:f>
      </x:c>
      <x:c r="N43" s="17" t="str">
        <x:f>IF($B43="","",IF(COUNTIF('共享事件'!$A$2:$A$301,$B43)&lt;&gt;1,"事件ID缺失或重复",INDEX('共享事件'!$A$2:$M$301,MATCH($B43,'共享事件'!$A$2:$A$301,0),7)))</x:f>
      </x:c>
      <x:c r="O43" s="17" t="n">
        <x:f>IF($A43="",0,IF(AND($C43='季度总览'!$D$3,$L43='季度总览'!$B$3,OR('季度总览'!$F$3="全部",$D43='季度总览'!$F$3,$D43="全国",$D43="全球")),1,0))</x:f>
        <x:v>0</x:v>
      </x:c>
      <x:c r="P43" s="17" t="str">
        <x:f>IF($A43="","",$K43&amp;"【"&amp;$N43&amp;"】"&amp;CHAR(10)&amp;$D43&amp;"："&amp;$G43)</x:f>
      </x:c>
    </x:row>
    <x:row r="44">
      <x:c r="K44" s="17" t="str">
        <x:f>IF($B44="","",IF(COUNTIF('共享事件'!$A$2:$A$301,$B44)&lt;&gt;1,"事件ID缺失或重复",INDEX('共享事件'!$A$2:$M$301,MATCH($B44,'共享事件'!$A$2:$A$301,0),2)))</x:f>
      </x:c>
      <x:c r="L44" s="18" t="str">
        <x:f>IF($B44="","",IF(COUNTIF('共享事件'!$A$2:$A$301,$B44)&lt;&gt;1,"事件ID缺失或重复",INDEX('共享事件'!$A$2:$M$301,MATCH($B44,'共享事件'!$A$2:$A$301,0),3)))</x:f>
      </x:c>
      <x:c r="M44" s="18" t="str">
        <x:f>IF($B44="","",IF(COUNTIF('共享事件'!$A$2:$A$301,$B44)&lt;&gt;1,"事件ID缺失或重复",INDEX('共享事件'!$A$2:$M$301,MATCH($B44,'共享事件'!$A$2:$A$301,0),4)))</x:f>
      </x:c>
      <x:c r="N44" s="17" t="str">
        <x:f>IF($B44="","",IF(COUNTIF('共享事件'!$A$2:$A$301,$B44)&lt;&gt;1,"事件ID缺失或重复",INDEX('共享事件'!$A$2:$M$301,MATCH($B44,'共享事件'!$A$2:$A$301,0),7)))</x:f>
      </x:c>
      <x:c r="O44" s="17" t="n">
        <x:f>IF($A44="",0,IF(AND($C44='季度总览'!$D$3,$L44='季度总览'!$B$3,OR('季度总览'!$F$3="全部",$D44='季度总览'!$F$3,$D44="全国",$D44="全球")),1,0))</x:f>
        <x:v>0</x:v>
      </x:c>
      <x:c r="P44" s="17" t="str">
        <x:f>IF($A44="","",$K44&amp;"【"&amp;$N44&amp;"】"&amp;CHAR(10)&amp;$D44&amp;"："&amp;$G44)</x:f>
      </x:c>
    </x:row>
    <x:row r="45">
      <x:c r="K45" s="17" t="str">
        <x:f>IF($B45="","",IF(COUNTIF('共享事件'!$A$2:$A$301,$B45)&lt;&gt;1,"事件ID缺失或重复",INDEX('共享事件'!$A$2:$M$301,MATCH($B45,'共享事件'!$A$2:$A$301,0),2)))</x:f>
      </x:c>
      <x:c r="L45" s="18" t="str">
        <x:f>IF($B45="","",IF(COUNTIF('共享事件'!$A$2:$A$301,$B45)&lt;&gt;1,"事件ID缺失或重复",INDEX('共享事件'!$A$2:$M$301,MATCH($B45,'共享事件'!$A$2:$A$301,0),3)))</x:f>
      </x:c>
      <x:c r="M45" s="18" t="str">
        <x:f>IF($B45="","",IF(COUNTIF('共享事件'!$A$2:$A$301,$B45)&lt;&gt;1,"事件ID缺失或重复",INDEX('共享事件'!$A$2:$M$301,MATCH($B45,'共享事件'!$A$2:$A$301,0),4)))</x:f>
      </x:c>
      <x:c r="N45" s="17" t="str">
        <x:f>IF($B45="","",IF(COUNTIF('共享事件'!$A$2:$A$301,$B45)&lt;&gt;1,"事件ID缺失或重复",INDEX('共享事件'!$A$2:$M$301,MATCH($B45,'共享事件'!$A$2:$A$301,0),7)))</x:f>
      </x:c>
      <x:c r="O45" s="17" t="n">
        <x:f>IF($A45="",0,IF(AND($C45='季度总览'!$D$3,$L45='季度总览'!$B$3,OR('季度总览'!$F$3="全部",$D45='季度总览'!$F$3,$D45="全国",$D45="全球")),1,0))</x:f>
        <x:v>0</x:v>
      </x:c>
      <x:c r="P45" s="17" t="str">
        <x:f>IF($A45="","",$K45&amp;"【"&amp;$N45&amp;"】"&amp;CHAR(10)&amp;$D45&amp;"："&amp;$G45)</x:f>
      </x:c>
    </x:row>
    <x:row r="46">
      <x:c r="K46" s="17" t="str">
        <x:f>IF($B46="","",IF(COUNTIF('共享事件'!$A$2:$A$301,$B46)&lt;&gt;1,"事件ID缺失或重复",INDEX('共享事件'!$A$2:$M$301,MATCH($B46,'共享事件'!$A$2:$A$301,0),2)))</x:f>
      </x:c>
      <x:c r="L46" s="18" t="str">
        <x:f>IF($B46="","",IF(COUNTIF('共享事件'!$A$2:$A$301,$B46)&lt;&gt;1,"事件ID缺失或重复",INDEX('共享事件'!$A$2:$M$301,MATCH($B46,'共享事件'!$A$2:$A$301,0),3)))</x:f>
      </x:c>
      <x:c r="M46" s="18" t="str">
        <x:f>IF($B46="","",IF(COUNTIF('共享事件'!$A$2:$A$301,$B46)&lt;&gt;1,"事件ID缺失或重复",INDEX('共享事件'!$A$2:$M$301,MATCH($B46,'共享事件'!$A$2:$A$301,0),4)))</x:f>
      </x:c>
      <x:c r="N46" s="17" t="str">
        <x:f>IF($B46="","",IF(COUNTIF('共享事件'!$A$2:$A$301,$B46)&lt;&gt;1,"事件ID缺失或重复",INDEX('共享事件'!$A$2:$M$301,MATCH($B46,'共享事件'!$A$2:$A$301,0),7)))</x:f>
      </x:c>
      <x:c r="O46" s="17" t="n">
        <x:f>IF($A46="",0,IF(AND($C46='季度总览'!$D$3,$L46='季度总览'!$B$3,OR('季度总览'!$F$3="全部",$D46='季度总览'!$F$3,$D46="全国",$D46="全球")),1,0))</x:f>
        <x:v>0</x:v>
      </x:c>
      <x:c r="P46" s="17" t="str">
        <x:f>IF($A46="","",$K46&amp;"【"&amp;$N46&amp;"】"&amp;CHAR(10)&amp;$D46&amp;"："&amp;$G46)</x:f>
      </x:c>
    </x:row>
    <x:row r="47">
      <x:c r="K47" s="17" t="str">
        <x:f>IF($B47="","",IF(COUNTIF('共享事件'!$A$2:$A$301,$B47)&lt;&gt;1,"事件ID缺失或重复",INDEX('共享事件'!$A$2:$M$301,MATCH($B47,'共享事件'!$A$2:$A$301,0),2)))</x:f>
      </x:c>
      <x:c r="L47" s="18" t="str">
        <x:f>IF($B47="","",IF(COUNTIF('共享事件'!$A$2:$A$301,$B47)&lt;&gt;1,"事件ID缺失或重复",INDEX('共享事件'!$A$2:$M$301,MATCH($B47,'共享事件'!$A$2:$A$301,0),3)))</x:f>
      </x:c>
      <x:c r="M47" s="18" t="str">
        <x:f>IF($B47="","",IF(COUNTIF('共享事件'!$A$2:$A$301,$B47)&lt;&gt;1,"事件ID缺失或重复",INDEX('共享事件'!$A$2:$M$301,MATCH($B47,'共享事件'!$A$2:$A$301,0),4)))</x:f>
      </x:c>
      <x:c r="N47" s="17" t="str">
        <x:f>IF($B47="","",IF(COUNTIF('共享事件'!$A$2:$A$301,$B47)&lt;&gt;1,"事件ID缺失或重复",INDEX('共享事件'!$A$2:$M$301,MATCH($B47,'共享事件'!$A$2:$A$301,0),7)))</x:f>
      </x:c>
      <x:c r="O47" s="17" t="n">
        <x:f>IF($A47="",0,IF(AND($C47='季度总览'!$D$3,$L47='季度总览'!$B$3,OR('季度总览'!$F$3="全部",$D47='季度总览'!$F$3,$D47="全国",$D47="全球")),1,0))</x:f>
        <x:v>0</x:v>
      </x:c>
      <x:c r="P47" s="17" t="str">
        <x:f>IF($A47="","",$K47&amp;"【"&amp;$N47&amp;"】"&amp;CHAR(10)&amp;$D47&amp;"："&amp;$G47)</x:f>
      </x:c>
    </x:row>
    <x:row r="48">
      <x:c r="K48" s="17" t="str">
        <x:f>IF($B48="","",IF(COUNTIF('共享事件'!$A$2:$A$301,$B48)&lt;&gt;1,"事件ID缺失或重复",INDEX('共享事件'!$A$2:$M$301,MATCH($B48,'共享事件'!$A$2:$A$301,0),2)))</x:f>
      </x:c>
      <x:c r="L48" s="18" t="str">
        <x:f>IF($B48="","",IF(COUNTIF('共享事件'!$A$2:$A$301,$B48)&lt;&gt;1,"事件ID缺失或重复",INDEX('共享事件'!$A$2:$M$301,MATCH($B48,'共享事件'!$A$2:$A$301,0),3)))</x:f>
      </x:c>
      <x:c r="M48" s="18" t="str">
        <x:f>IF($B48="","",IF(COUNTIF('共享事件'!$A$2:$A$301,$B48)&lt;&gt;1,"事件ID缺失或重复",INDEX('共享事件'!$A$2:$M$301,MATCH($B48,'共享事件'!$A$2:$A$301,0),4)))</x:f>
      </x:c>
      <x:c r="N48" s="17" t="str">
        <x:f>IF($B48="","",IF(COUNTIF('共享事件'!$A$2:$A$301,$B48)&lt;&gt;1,"事件ID缺失或重复",INDEX('共享事件'!$A$2:$M$301,MATCH($B48,'共享事件'!$A$2:$A$301,0),7)))</x:f>
      </x:c>
      <x:c r="O48" s="17" t="n">
        <x:f>IF($A48="",0,IF(AND($C48='季度总览'!$D$3,$L48='季度总览'!$B$3,OR('季度总览'!$F$3="全部",$D48='季度总览'!$F$3,$D48="全国",$D48="全球")),1,0))</x:f>
        <x:v>0</x:v>
      </x:c>
      <x:c r="P48" s="17" t="str">
        <x:f>IF($A48="","",$K48&amp;"【"&amp;$N48&amp;"】"&amp;CHAR(10)&amp;$D48&amp;"："&amp;$G48)</x:f>
      </x:c>
    </x:row>
    <x:row r="49">
      <x:c r="K49" s="17" t="str">
        <x:f>IF($B49="","",IF(COUNTIF('共享事件'!$A$2:$A$301,$B49)&lt;&gt;1,"事件ID缺失或重复",INDEX('共享事件'!$A$2:$M$301,MATCH($B49,'共享事件'!$A$2:$A$301,0),2)))</x:f>
      </x:c>
      <x:c r="L49" s="18" t="str">
        <x:f>IF($B49="","",IF(COUNTIF('共享事件'!$A$2:$A$301,$B49)&lt;&gt;1,"事件ID缺失或重复",INDEX('共享事件'!$A$2:$M$301,MATCH($B49,'共享事件'!$A$2:$A$301,0),3)))</x:f>
      </x:c>
      <x:c r="M49" s="18" t="str">
        <x:f>IF($B49="","",IF(COUNTIF('共享事件'!$A$2:$A$301,$B49)&lt;&gt;1,"事件ID缺失或重复",INDEX('共享事件'!$A$2:$M$301,MATCH($B49,'共享事件'!$A$2:$A$301,0),4)))</x:f>
      </x:c>
      <x:c r="N49" s="17" t="str">
        <x:f>IF($B49="","",IF(COUNTIF('共享事件'!$A$2:$A$301,$B49)&lt;&gt;1,"事件ID缺失或重复",INDEX('共享事件'!$A$2:$M$301,MATCH($B49,'共享事件'!$A$2:$A$301,0),7)))</x:f>
      </x:c>
      <x:c r="O49" s="17" t="n">
        <x:f>IF($A49="",0,IF(AND($C49='季度总览'!$D$3,$L49='季度总览'!$B$3,OR('季度总览'!$F$3="全部",$D49='季度总览'!$F$3,$D49="全国",$D49="全球")),1,0))</x:f>
        <x:v>0</x:v>
      </x:c>
      <x:c r="P49" s="17" t="str">
        <x:f>IF($A49="","",$K49&amp;"【"&amp;$N49&amp;"】"&amp;CHAR(10)&amp;$D49&amp;"："&amp;$G49)</x:f>
      </x:c>
    </x:row>
    <x:row r="50">
      <x:c r="K50" s="17" t="str">
        <x:f>IF($B50="","",IF(COUNTIF('共享事件'!$A$2:$A$301,$B50)&lt;&gt;1,"事件ID缺失或重复",INDEX('共享事件'!$A$2:$M$301,MATCH($B50,'共享事件'!$A$2:$A$301,0),2)))</x:f>
      </x:c>
      <x:c r="L50" s="18" t="str">
        <x:f>IF($B50="","",IF(COUNTIF('共享事件'!$A$2:$A$301,$B50)&lt;&gt;1,"事件ID缺失或重复",INDEX('共享事件'!$A$2:$M$301,MATCH($B50,'共享事件'!$A$2:$A$301,0),3)))</x:f>
      </x:c>
      <x:c r="M50" s="18" t="str">
        <x:f>IF($B50="","",IF(COUNTIF('共享事件'!$A$2:$A$301,$B50)&lt;&gt;1,"事件ID缺失或重复",INDEX('共享事件'!$A$2:$M$301,MATCH($B50,'共享事件'!$A$2:$A$301,0),4)))</x:f>
      </x:c>
      <x:c r="N50" s="17" t="str">
        <x:f>IF($B50="","",IF(COUNTIF('共享事件'!$A$2:$A$301,$B50)&lt;&gt;1,"事件ID缺失或重复",INDEX('共享事件'!$A$2:$M$301,MATCH($B50,'共享事件'!$A$2:$A$301,0),7)))</x:f>
      </x:c>
      <x:c r="O50" s="17" t="n">
        <x:f>IF($A50="",0,IF(AND($C50='季度总览'!$D$3,$L50='季度总览'!$B$3,OR('季度总览'!$F$3="全部",$D50='季度总览'!$F$3,$D50="全国",$D50="全球")),1,0))</x:f>
        <x:v>0</x:v>
      </x:c>
      <x:c r="P50" s="17" t="str">
        <x:f>IF($A50="","",$K50&amp;"【"&amp;$N50&amp;"】"&amp;CHAR(10)&amp;$D50&amp;"："&amp;$G50)</x:f>
      </x:c>
    </x:row>
    <x:row r="51">
      <x:c r="K51" s="17" t="str">
        <x:f>IF($B51="","",IF(COUNTIF('共享事件'!$A$2:$A$301,$B51)&lt;&gt;1,"事件ID缺失或重复",INDEX('共享事件'!$A$2:$M$301,MATCH($B51,'共享事件'!$A$2:$A$301,0),2)))</x:f>
      </x:c>
      <x:c r="L51" s="18" t="str">
        <x:f>IF($B51="","",IF(COUNTIF('共享事件'!$A$2:$A$301,$B51)&lt;&gt;1,"事件ID缺失或重复",INDEX('共享事件'!$A$2:$M$301,MATCH($B51,'共享事件'!$A$2:$A$301,0),3)))</x:f>
      </x:c>
      <x:c r="M51" s="18" t="str">
        <x:f>IF($B51="","",IF(COUNTIF('共享事件'!$A$2:$A$301,$B51)&lt;&gt;1,"事件ID缺失或重复",INDEX('共享事件'!$A$2:$M$301,MATCH($B51,'共享事件'!$A$2:$A$301,0),4)))</x:f>
      </x:c>
      <x:c r="N51" s="17" t="str">
        <x:f>IF($B51="","",IF(COUNTIF('共享事件'!$A$2:$A$301,$B51)&lt;&gt;1,"事件ID缺失或重复",INDEX('共享事件'!$A$2:$M$301,MATCH($B51,'共享事件'!$A$2:$A$301,0),7)))</x:f>
      </x:c>
      <x:c r="O51" s="17" t="n">
        <x:f>IF($A51="",0,IF(AND($C51='季度总览'!$D$3,$L51='季度总览'!$B$3,OR('季度总览'!$F$3="全部",$D51='季度总览'!$F$3,$D51="全国",$D51="全球")),1,0))</x:f>
        <x:v>0</x:v>
      </x:c>
      <x:c r="P51" s="17" t="str">
        <x:f>IF($A51="","",$K51&amp;"【"&amp;$N51&amp;"】"&amp;CHAR(10)&amp;$D51&amp;"："&amp;$G51)</x:f>
      </x:c>
    </x:row>
    <x:row r="52">
      <x:c r="K52" s="17" t="str">
        <x:f>IF($B52="","",IF(COUNTIF('共享事件'!$A$2:$A$301,$B52)&lt;&gt;1,"事件ID缺失或重复",INDEX('共享事件'!$A$2:$M$301,MATCH($B52,'共享事件'!$A$2:$A$301,0),2)))</x:f>
      </x:c>
      <x:c r="L52" s="18" t="str">
        <x:f>IF($B52="","",IF(COUNTIF('共享事件'!$A$2:$A$301,$B52)&lt;&gt;1,"事件ID缺失或重复",INDEX('共享事件'!$A$2:$M$301,MATCH($B52,'共享事件'!$A$2:$A$301,0),3)))</x:f>
      </x:c>
      <x:c r="M52" s="18" t="str">
        <x:f>IF($B52="","",IF(COUNTIF('共享事件'!$A$2:$A$301,$B52)&lt;&gt;1,"事件ID缺失或重复",INDEX('共享事件'!$A$2:$M$301,MATCH($B52,'共享事件'!$A$2:$A$301,0),4)))</x:f>
      </x:c>
      <x:c r="N52" s="17" t="str">
        <x:f>IF($B52="","",IF(COUNTIF('共享事件'!$A$2:$A$301,$B52)&lt;&gt;1,"事件ID缺失或重复",INDEX('共享事件'!$A$2:$M$301,MATCH($B52,'共享事件'!$A$2:$A$301,0),7)))</x:f>
      </x:c>
      <x:c r="O52" s="17" t="n">
        <x:f>IF($A52="",0,IF(AND($C52='季度总览'!$D$3,$L52='季度总览'!$B$3,OR('季度总览'!$F$3="全部",$D52='季度总览'!$F$3,$D52="全国",$D52="全球")),1,0))</x:f>
        <x:v>0</x:v>
      </x:c>
      <x:c r="P52" s="17" t="str">
        <x:f>IF($A52="","",$K52&amp;"【"&amp;$N52&amp;"】"&amp;CHAR(10)&amp;$D52&amp;"："&amp;$G52)</x:f>
      </x:c>
    </x:row>
    <x:row r="53">
      <x:c r="K53" s="17" t="str">
        <x:f>IF($B53="","",IF(COUNTIF('共享事件'!$A$2:$A$301,$B53)&lt;&gt;1,"事件ID缺失或重复",INDEX('共享事件'!$A$2:$M$301,MATCH($B53,'共享事件'!$A$2:$A$301,0),2)))</x:f>
      </x:c>
      <x:c r="L53" s="18" t="str">
        <x:f>IF($B53="","",IF(COUNTIF('共享事件'!$A$2:$A$301,$B53)&lt;&gt;1,"事件ID缺失或重复",INDEX('共享事件'!$A$2:$M$301,MATCH($B53,'共享事件'!$A$2:$A$301,0),3)))</x:f>
      </x:c>
      <x:c r="M53" s="18" t="str">
        <x:f>IF($B53="","",IF(COUNTIF('共享事件'!$A$2:$A$301,$B53)&lt;&gt;1,"事件ID缺失或重复",INDEX('共享事件'!$A$2:$M$301,MATCH($B53,'共享事件'!$A$2:$A$301,0),4)))</x:f>
      </x:c>
      <x:c r="N53" s="17" t="str">
        <x:f>IF($B53="","",IF(COUNTIF('共享事件'!$A$2:$A$301,$B53)&lt;&gt;1,"事件ID缺失或重复",INDEX('共享事件'!$A$2:$M$301,MATCH($B53,'共享事件'!$A$2:$A$301,0),7)))</x:f>
      </x:c>
      <x:c r="O53" s="17" t="n">
        <x:f>IF($A53="",0,IF(AND($C53='季度总览'!$D$3,$L53='季度总览'!$B$3,OR('季度总览'!$F$3="全部",$D53='季度总览'!$F$3,$D53="全国",$D53="全球")),1,0))</x:f>
        <x:v>0</x:v>
      </x:c>
      <x:c r="P53" s="17" t="str">
        <x:f>IF($A53="","",$K53&amp;"【"&amp;$N53&amp;"】"&amp;CHAR(10)&amp;$D53&amp;"："&amp;$G53)</x:f>
      </x:c>
    </x:row>
    <x:row r="54">
      <x:c r="K54" s="17" t="str">
        <x:f>IF($B54="","",IF(COUNTIF('共享事件'!$A$2:$A$301,$B54)&lt;&gt;1,"事件ID缺失或重复",INDEX('共享事件'!$A$2:$M$301,MATCH($B54,'共享事件'!$A$2:$A$301,0),2)))</x:f>
      </x:c>
      <x:c r="L54" s="18" t="str">
        <x:f>IF($B54="","",IF(COUNTIF('共享事件'!$A$2:$A$301,$B54)&lt;&gt;1,"事件ID缺失或重复",INDEX('共享事件'!$A$2:$M$301,MATCH($B54,'共享事件'!$A$2:$A$301,0),3)))</x:f>
      </x:c>
      <x:c r="M54" s="18" t="str">
        <x:f>IF($B54="","",IF(COUNTIF('共享事件'!$A$2:$A$301,$B54)&lt;&gt;1,"事件ID缺失或重复",INDEX('共享事件'!$A$2:$M$301,MATCH($B54,'共享事件'!$A$2:$A$301,0),4)))</x:f>
      </x:c>
      <x:c r="N54" s="17" t="str">
        <x:f>IF($B54="","",IF(COUNTIF('共享事件'!$A$2:$A$301,$B54)&lt;&gt;1,"事件ID缺失或重复",INDEX('共享事件'!$A$2:$M$301,MATCH($B54,'共享事件'!$A$2:$A$301,0),7)))</x:f>
      </x:c>
      <x:c r="O54" s="17" t="n">
        <x:f>IF($A54="",0,IF(AND($C54='季度总览'!$D$3,$L54='季度总览'!$B$3,OR('季度总览'!$F$3="全部",$D54='季度总览'!$F$3,$D54="全国",$D54="全球")),1,0))</x:f>
        <x:v>0</x:v>
      </x:c>
      <x:c r="P54" s="17" t="str">
        <x:f>IF($A54="","",$K54&amp;"【"&amp;$N54&amp;"】"&amp;CHAR(10)&amp;$D54&amp;"："&amp;$G54)</x:f>
      </x:c>
    </x:row>
    <x:row r="55">
      <x:c r="K55" s="17" t="str">
        <x:f>IF($B55="","",IF(COUNTIF('共享事件'!$A$2:$A$301,$B55)&lt;&gt;1,"事件ID缺失或重复",INDEX('共享事件'!$A$2:$M$301,MATCH($B55,'共享事件'!$A$2:$A$301,0),2)))</x:f>
      </x:c>
      <x:c r="L55" s="18" t="str">
        <x:f>IF($B55="","",IF(COUNTIF('共享事件'!$A$2:$A$301,$B55)&lt;&gt;1,"事件ID缺失或重复",INDEX('共享事件'!$A$2:$M$301,MATCH($B55,'共享事件'!$A$2:$A$301,0),3)))</x:f>
      </x:c>
      <x:c r="M55" s="18" t="str">
        <x:f>IF($B55="","",IF(COUNTIF('共享事件'!$A$2:$A$301,$B55)&lt;&gt;1,"事件ID缺失或重复",INDEX('共享事件'!$A$2:$M$301,MATCH($B55,'共享事件'!$A$2:$A$301,0),4)))</x:f>
      </x:c>
      <x:c r="N55" s="17" t="str">
        <x:f>IF($B55="","",IF(COUNTIF('共享事件'!$A$2:$A$301,$B55)&lt;&gt;1,"事件ID缺失或重复",INDEX('共享事件'!$A$2:$M$301,MATCH($B55,'共享事件'!$A$2:$A$301,0),7)))</x:f>
      </x:c>
      <x:c r="O55" s="17" t="n">
        <x:f>IF($A55="",0,IF(AND($C55='季度总览'!$D$3,$L55='季度总览'!$B$3,OR('季度总览'!$F$3="全部",$D55='季度总览'!$F$3,$D55="全国",$D55="全球")),1,0))</x:f>
        <x:v>0</x:v>
      </x:c>
      <x:c r="P55" s="17" t="str">
        <x:f>IF($A55="","",$K55&amp;"【"&amp;$N55&amp;"】"&amp;CHAR(10)&amp;$D55&amp;"："&amp;$G55)</x:f>
      </x:c>
    </x:row>
    <x:row r="56">
      <x:c r="K56" s="17" t="str">
        <x:f>IF($B56="","",IF(COUNTIF('共享事件'!$A$2:$A$301,$B56)&lt;&gt;1,"事件ID缺失或重复",INDEX('共享事件'!$A$2:$M$301,MATCH($B56,'共享事件'!$A$2:$A$301,0),2)))</x:f>
      </x:c>
      <x:c r="L56" s="18" t="str">
        <x:f>IF($B56="","",IF(COUNTIF('共享事件'!$A$2:$A$301,$B56)&lt;&gt;1,"事件ID缺失或重复",INDEX('共享事件'!$A$2:$M$301,MATCH($B56,'共享事件'!$A$2:$A$301,0),3)))</x:f>
      </x:c>
      <x:c r="M56" s="18" t="str">
        <x:f>IF($B56="","",IF(COUNTIF('共享事件'!$A$2:$A$301,$B56)&lt;&gt;1,"事件ID缺失或重复",INDEX('共享事件'!$A$2:$M$301,MATCH($B56,'共享事件'!$A$2:$A$301,0),4)))</x:f>
      </x:c>
      <x:c r="N56" s="17" t="str">
        <x:f>IF($B56="","",IF(COUNTIF('共享事件'!$A$2:$A$301,$B56)&lt;&gt;1,"事件ID缺失或重复",INDEX('共享事件'!$A$2:$M$301,MATCH($B56,'共享事件'!$A$2:$A$301,0),7)))</x:f>
      </x:c>
      <x:c r="O56" s="17" t="n">
        <x:f>IF($A56="",0,IF(AND($C56='季度总览'!$D$3,$L56='季度总览'!$B$3,OR('季度总览'!$F$3="全部",$D56='季度总览'!$F$3,$D56="全国",$D56="全球")),1,0))</x:f>
        <x:v>0</x:v>
      </x:c>
      <x:c r="P56" s="17" t="str">
        <x:f>IF($A56="","",$K56&amp;"【"&amp;$N56&amp;"】"&amp;CHAR(10)&amp;$D56&amp;"："&amp;$G56)</x:f>
      </x:c>
    </x:row>
    <x:row r="57">
      <x:c r="K57" s="17" t="str">
        <x:f>IF($B57="","",IF(COUNTIF('共享事件'!$A$2:$A$301,$B57)&lt;&gt;1,"事件ID缺失或重复",INDEX('共享事件'!$A$2:$M$301,MATCH($B57,'共享事件'!$A$2:$A$301,0),2)))</x:f>
      </x:c>
      <x:c r="L57" s="18" t="str">
        <x:f>IF($B57="","",IF(COUNTIF('共享事件'!$A$2:$A$301,$B57)&lt;&gt;1,"事件ID缺失或重复",INDEX('共享事件'!$A$2:$M$301,MATCH($B57,'共享事件'!$A$2:$A$301,0),3)))</x:f>
      </x:c>
      <x:c r="M57" s="18" t="str">
        <x:f>IF($B57="","",IF(COUNTIF('共享事件'!$A$2:$A$301,$B57)&lt;&gt;1,"事件ID缺失或重复",INDEX('共享事件'!$A$2:$M$301,MATCH($B57,'共享事件'!$A$2:$A$301,0),4)))</x:f>
      </x:c>
      <x:c r="N57" s="17" t="str">
        <x:f>IF($B57="","",IF(COUNTIF('共享事件'!$A$2:$A$301,$B57)&lt;&gt;1,"事件ID缺失或重复",INDEX('共享事件'!$A$2:$M$301,MATCH($B57,'共享事件'!$A$2:$A$301,0),7)))</x:f>
      </x:c>
      <x:c r="O57" s="17" t="n">
        <x:f>IF($A57="",0,IF(AND($C57='季度总览'!$D$3,$L57='季度总览'!$B$3,OR('季度总览'!$F$3="全部",$D57='季度总览'!$F$3,$D57="全国",$D57="全球")),1,0))</x:f>
        <x:v>0</x:v>
      </x:c>
      <x:c r="P57" s="17" t="str">
        <x:f>IF($A57="","",$K57&amp;"【"&amp;$N57&amp;"】"&amp;CHAR(10)&amp;$D57&amp;"："&amp;$G57)</x:f>
      </x:c>
    </x:row>
    <x:row r="58">
      <x:c r="K58" s="17" t="str">
        <x:f>IF($B58="","",IF(COUNTIF('共享事件'!$A$2:$A$301,$B58)&lt;&gt;1,"事件ID缺失或重复",INDEX('共享事件'!$A$2:$M$301,MATCH($B58,'共享事件'!$A$2:$A$301,0),2)))</x:f>
      </x:c>
      <x:c r="L58" s="18" t="str">
        <x:f>IF($B58="","",IF(COUNTIF('共享事件'!$A$2:$A$301,$B58)&lt;&gt;1,"事件ID缺失或重复",INDEX('共享事件'!$A$2:$M$301,MATCH($B58,'共享事件'!$A$2:$A$301,0),3)))</x:f>
      </x:c>
      <x:c r="M58" s="18" t="str">
        <x:f>IF($B58="","",IF(COUNTIF('共享事件'!$A$2:$A$301,$B58)&lt;&gt;1,"事件ID缺失或重复",INDEX('共享事件'!$A$2:$M$301,MATCH($B58,'共享事件'!$A$2:$A$301,0),4)))</x:f>
      </x:c>
      <x:c r="N58" s="17" t="str">
        <x:f>IF($B58="","",IF(COUNTIF('共享事件'!$A$2:$A$301,$B58)&lt;&gt;1,"事件ID缺失或重复",INDEX('共享事件'!$A$2:$M$301,MATCH($B58,'共享事件'!$A$2:$A$301,0),7)))</x:f>
      </x:c>
      <x:c r="O58" s="17" t="n">
        <x:f>IF($A58="",0,IF(AND($C58='季度总览'!$D$3,$L58='季度总览'!$B$3,OR('季度总览'!$F$3="全部",$D58='季度总览'!$F$3,$D58="全国",$D58="全球")),1,0))</x:f>
        <x:v>0</x:v>
      </x:c>
      <x:c r="P58" s="17" t="str">
        <x:f>IF($A58="","",$K58&amp;"【"&amp;$N58&amp;"】"&amp;CHAR(10)&amp;$D58&amp;"："&amp;$G58)</x:f>
      </x:c>
    </x:row>
    <x:row r="59">
      <x:c r="K59" s="17" t="str">
        <x:f>IF($B59="","",IF(COUNTIF('共享事件'!$A$2:$A$301,$B59)&lt;&gt;1,"事件ID缺失或重复",INDEX('共享事件'!$A$2:$M$301,MATCH($B59,'共享事件'!$A$2:$A$301,0),2)))</x:f>
      </x:c>
      <x:c r="L59" s="18" t="str">
        <x:f>IF($B59="","",IF(COUNTIF('共享事件'!$A$2:$A$301,$B59)&lt;&gt;1,"事件ID缺失或重复",INDEX('共享事件'!$A$2:$M$301,MATCH($B59,'共享事件'!$A$2:$A$301,0),3)))</x:f>
      </x:c>
      <x:c r="M59" s="18" t="str">
        <x:f>IF($B59="","",IF(COUNTIF('共享事件'!$A$2:$A$301,$B59)&lt;&gt;1,"事件ID缺失或重复",INDEX('共享事件'!$A$2:$M$301,MATCH($B59,'共享事件'!$A$2:$A$301,0),4)))</x:f>
      </x:c>
      <x:c r="N59" s="17" t="str">
        <x:f>IF($B59="","",IF(COUNTIF('共享事件'!$A$2:$A$301,$B59)&lt;&gt;1,"事件ID缺失或重复",INDEX('共享事件'!$A$2:$M$301,MATCH($B59,'共享事件'!$A$2:$A$301,0),7)))</x:f>
      </x:c>
      <x:c r="O59" s="17" t="n">
        <x:f>IF($A59="",0,IF(AND($C59='季度总览'!$D$3,$L59='季度总览'!$B$3,OR('季度总览'!$F$3="全部",$D59='季度总览'!$F$3,$D59="全国",$D59="全球")),1,0))</x:f>
        <x:v>0</x:v>
      </x:c>
      <x:c r="P59" s="17" t="str">
        <x:f>IF($A59="","",$K59&amp;"【"&amp;$N59&amp;"】"&amp;CHAR(10)&amp;$D59&amp;"："&amp;$G59)</x:f>
      </x:c>
    </x:row>
    <x:row r="60">
      <x:c r="K60" s="17" t="str">
        <x:f>IF($B60="","",IF(COUNTIF('共享事件'!$A$2:$A$301,$B60)&lt;&gt;1,"事件ID缺失或重复",INDEX('共享事件'!$A$2:$M$301,MATCH($B60,'共享事件'!$A$2:$A$301,0),2)))</x:f>
      </x:c>
      <x:c r="L60" s="18" t="str">
        <x:f>IF($B60="","",IF(COUNTIF('共享事件'!$A$2:$A$301,$B60)&lt;&gt;1,"事件ID缺失或重复",INDEX('共享事件'!$A$2:$M$301,MATCH($B60,'共享事件'!$A$2:$A$301,0),3)))</x:f>
      </x:c>
      <x:c r="M60" s="18" t="str">
        <x:f>IF($B60="","",IF(COUNTIF('共享事件'!$A$2:$A$301,$B60)&lt;&gt;1,"事件ID缺失或重复",INDEX('共享事件'!$A$2:$M$301,MATCH($B60,'共享事件'!$A$2:$A$301,0),4)))</x:f>
      </x:c>
      <x:c r="N60" s="17" t="str">
        <x:f>IF($B60="","",IF(COUNTIF('共享事件'!$A$2:$A$301,$B60)&lt;&gt;1,"事件ID缺失或重复",INDEX('共享事件'!$A$2:$M$301,MATCH($B60,'共享事件'!$A$2:$A$301,0),7)))</x:f>
      </x:c>
      <x:c r="O60" s="17" t="n">
        <x:f>IF($A60="",0,IF(AND($C60='季度总览'!$D$3,$L60='季度总览'!$B$3,OR('季度总览'!$F$3="全部",$D60='季度总览'!$F$3,$D60="全国",$D60="全球")),1,0))</x:f>
        <x:v>0</x:v>
      </x:c>
      <x:c r="P60" s="17" t="str">
        <x:f>IF($A60="","",$K60&amp;"【"&amp;$N60&amp;"】"&amp;CHAR(10)&amp;$D60&amp;"："&amp;$G60)</x:f>
      </x:c>
    </x:row>
    <x:row r="61">
      <x:c r="K61" s="17" t="str">
        <x:f>IF($B61="","",IF(COUNTIF('共享事件'!$A$2:$A$301,$B61)&lt;&gt;1,"事件ID缺失或重复",INDEX('共享事件'!$A$2:$M$301,MATCH($B61,'共享事件'!$A$2:$A$301,0),2)))</x:f>
      </x:c>
      <x:c r="L61" s="18" t="str">
        <x:f>IF($B61="","",IF(COUNTIF('共享事件'!$A$2:$A$301,$B61)&lt;&gt;1,"事件ID缺失或重复",INDEX('共享事件'!$A$2:$M$301,MATCH($B61,'共享事件'!$A$2:$A$301,0),3)))</x:f>
      </x:c>
      <x:c r="M61" s="18" t="str">
        <x:f>IF($B61="","",IF(COUNTIF('共享事件'!$A$2:$A$301,$B61)&lt;&gt;1,"事件ID缺失或重复",INDEX('共享事件'!$A$2:$M$301,MATCH($B61,'共享事件'!$A$2:$A$301,0),4)))</x:f>
      </x:c>
      <x:c r="N61" s="17" t="str">
        <x:f>IF($B61="","",IF(COUNTIF('共享事件'!$A$2:$A$301,$B61)&lt;&gt;1,"事件ID缺失或重复",INDEX('共享事件'!$A$2:$M$301,MATCH($B61,'共享事件'!$A$2:$A$301,0),7)))</x:f>
      </x:c>
      <x:c r="O61" s="17" t="n">
        <x:f>IF($A61="",0,IF(AND($C61='季度总览'!$D$3,$L61='季度总览'!$B$3,OR('季度总览'!$F$3="全部",$D61='季度总览'!$F$3,$D61="全国",$D61="全球")),1,0))</x:f>
        <x:v>0</x:v>
      </x:c>
      <x:c r="P61" s="17" t="str">
        <x:f>IF($A61="","",$K61&amp;"【"&amp;$N61&amp;"】"&amp;CHAR(10)&amp;$D61&amp;"："&amp;$G61)</x:f>
      </x:c>
    </x:row>
    <x:row r="62">
      <x:c r="K62" s="17" t="str">
        <x:f>IF($B62="","",IF(COUNTIF('共享事件'!$A$2:$A$301,$B62)&lt;&gt;1,"事件ID缺失或重复",INDEX('共享事件'!$A$2:$M$301,MATCH($B62,'共享事件'!$A$2:$A$301,0),2)))</x:f>
      </x:c>
      <x:c r="L62" s="18" t="str">
        <x:f>IF($B62="","",IF(COUNTIF('共享事件'!$A$2:$A$301,$B62)&lt;&gt;1,"事件ID缺失或重复",INDEX('共享事件'!$A$2:$M$301,MATCH($B62,'共享事件'!$A$2:$A$301,0),3)))</x:f>
      </x:c>
      <x:c r="M62" s="18" t="str">
        <x:f>IF($B62="","",IF(COUNTIF('共享事件'!$A$2:$A$301,$B62)&lt;&gt;1,"事件ID缺失或重复",INDEX('共享事件'!$A$2:$M$301,MATCH($B62,'共享事件'!$A$2:$A$301,0),4)))</x:f>
      </x:c>
      <x:c r="N62" s="17" t="str">
        <x:f>IF($B62="","",IF(COUNTIF('共享事件'!$A$2:$A$301,$B62)&lt;&gt;1,"事件ID缺失或重复",INDEX('共享事件'!$A$2:$M$301,MATCH($B62,'共享事件'!$A$2:$A$301,0),7)))</x:f>
      </x:c>
      <x:c r="O62" s="17" t="n">
        <x:f>IF($A62="",0,IF(AND($C62='季度总览'!$D$3,$L62='季度总览'!$B$3,OR('季度总览'!$F$3="全部",$D62='季度总览'!$F$3,$D62="全国",$D62="全球")),1,0))</x:f>
        <x:v>0</x:v>
      </x:c>
      <x:c r="P62" s="17" t="str">
        <x:f>IF($A62="","",$K62&amp;"【"&amp;$N62&amp;"】"&amp;CHAR(10)&amp;$D62&amp;"："&amp;$G62)</x:f>
      </x:c>
    </x:row>
    <x:row r="63">
      <x:c r="K63" s="17" t="str">
        <x:f>IF($B63="","",IF(COUNTIF('共享事件'!$A$2:$A$301,$B63)&lt;&gt;1,"事件ID缺失或重复",INDEX('共享事件'!$A$2:$M$301,MATCH($B63,'共享事件'!$A$2:$A$301,0),2)))</x:f>
      </x:c>
      <x:c r="L63" s="18" t="str">
        <x:f>IF($B63="","",IF(COUNTIF('共享事件'!$A$2:$A$301,$B63)&lt;&gt;1,"事件ID缺失或重复",INDEX('共享事件'!$A$2:$M$301,MATCH($B63,'共享事件'!$A$2:$A$301,0),3)))</x:f>
      </x:c>
      <x:c r="M63" s="18" t="str">
        <x:f>IF($B63="","",IF(COUNTIF('共享事件'!$A$2:$A$301,$B63)&lt;&gt;1,"事件ID缺失或重复",INDEX('共享事件'!$A$2:$M$301,MATCH($B63,'共享事件'!$A$2:$A$301,0),4)))</x:f>
      </x:c>
      <x:c r="N63" s="17" t="str">
        <x:f>IF($B63="","",IF(COUNTIF('共享事件'!$A$2:$A$301,$B63)&lt;&gt;1,"事件ID缺失或重复",INDEX('共享事件'!$A$2:$M$301,MATCH($B63,'共享事件'!$A$2:$A$301,0),7)))</x:f>
      </x:c>
      <x:c r="O63" s="17" t="n">
        <x:f>IF($A63="",0,IF(AND($C63='季度总览'!$D$3,$L63='季度总览'!$B$3,OR('季度总览'!$F$3="全部",$D63='季度总览'!$F$3,$D63="全国",$D63="全球")),1,0))</x:f>
        <x:v>0</x:v>
      </x:c>
      <x:c r="P63" s="17" t="str">
        <x:f>IF($A63="","",$K63&amp;"【"&amp;$N63&amp;"】"&amp;CHAR(10)&amp;$D63&amp;"："&amp;$G63)</x:f>
      </x:c>
    </x:row>
    <x:row r="64">
      <x:c r="K64" s="17" t="str">
        <x:f>IF($B64="","",IF(COUNTIF('共享事件'!$A$2:$A$301,$B64)&lt;&gt;1,"事件ID缺失或重复",INDEX('共享事件'!$A$2:$M$301,MATCH($B64,'共享事件'!$A$2:$A$301,0),2)))</x:f>
      </x:c>
      <x:c r="L64" s="18" t="str">
        <x:f>IF($B64="","",IF(COUNTIF('共享事件'!$A$2:$A$301,$B64)&lt;&gt;1,"事件ID缺失或重复",INDEX('共享事件'!$A$2:$M$301,MATCH($B64,'共享事件'!$A$2:$A$301,0),3)))</x:f>
      </x:c>
      <x:c r="M64" s="18" t="str">
        <x:f>IF($B64="","",IF(COUNTIF('共享事件'!$A$2:$A$301,$B64)&lt;&gt;1,"事件ID缺失或重复",INDEX('共享事件'!$A$2:$M$301,MATCH($B64,'共享事件'!$A$2:$A$301,0),4)))</x:f>
      </x:c>
      <x:c r="N64" s="17" t="str">
        <x:f>IF($B64="","",IF(COUNTIF('共享事件'!$A$2:$A$301,$B64)&lt;&gt;1,"事件ID缺失或重复",INDEX('共享事件'!$A$2:$M$301,MATCH($B64,'共享事件'!$A$2:$A$301,0),7)))</x:f>
      </x:c>
      <x:c r="O64" s="17" t="n">
        <x:f>IF($A64="",0,IF(AND($C64='季度总览'!$D$3,$L64='季度总览'!$B$3,OR('季度总览'!$F$3="全部",$D64='季度总览'!$F$3,$D64="全国",$D64="全球")),1,0))</x:f>
        <x:v>0</x:v>
      </x:c>
      <x:c r="P64" s="17" t="str">
        <x:f>IF($A64="","",$K64&amp;"【"&amp;$N64&amp;"】"&amp;CHAR(10)&amp;$D64&amp;"："&amp;$G64)</x:f>
      </x:c>
    </x:row>
    <x:row r="65">
      <x:c r="K65" s="17" t="str">
        <x:f>IF($B65="","",IF(COUNTIF('共享事件'!$A$2:$A$301,$B65)&lt;&gt;1,"事件ID缺失或重复",INDEX('共享事件'!$A$2:$M$301,MATCH($B65,'共享事件'!$A$2:$A$301,0),2)))</x:f>
      </x:c>
      <x:c r="L65" s="18" t="str">
        <x:f>IF($B65="","",IF(COUNTIF('共享事件'!$A$2:$A$301,$B65)&lt;&gt;1,"事件ID缺失或重复",INDEX('共享事件'!$A$2:$M$301,MATCH($B65,'共享事件'!$A$2:$A$301,0),3)))</x:f>
      </x:c>
      <x:c r="M65" s="18" t="str">
        <x:f>IF($B65="","",IF(COUNTIF('共享事件'!$A$2:$A$301,$B65)&lt;&gt;1,"事件ID缺失或重复",INDEX('共享事件'!$A$2:$M$301,MATCH($B65,'共享事件'!$A$2:$A$301,0),4)))</x:f>
      </x:c>
      <x:c r="N65" s="17" t="str">
        <x:f>IF($B65="","",IF(COUNTIF('共享事件'!$A$2:$A$301,$B65)&lt;&gt;1,"事件ID缺失或重复",INDEX('共享事件'!$A$2:$M$301,MATCH($B65,'共享事件'!$A$2:$A$301,0),7)))</x:f>
      </x:c>
      <x:c r="O65" s="17" t="n">
        <x:f>IF($A65="",0,IF(AND($C65='季度总览'!$D$3,$L65='季度总览'!$B$3,OR('季度总览'!$F$3="全部",$D65='季度总览'!$F$3,$D65="全国",$D65="全球")),1,0))</x:f>
        <x:v>0</x:v>
      </x:c>
      <x:c r="P65" s="17" t="str">
        <x:f>IF($A65="","",$K65&amp;"【"&amp;$N65&amp;"】"&amp;CHAR(10)&amp;$D65&amp;"："&amp;$G65)</x:f>
      </x:c>
    </x:row>
    <x:row r="66">
      <x:c r="K66" s="17" t="str">
        <x:f>IF($B66="","",IF(COUNTIF('共享事件'!$A$2:$A$301,$B66)&lt;&gt;1,"事件ID缺失或重复",INDEX('共享事件'!$A$2:$M$301,MATCH($B66,'共享事件'!$A$2:$A$301,0),2)))</x:f>
      </x:c>
      <x:c r="L66" s="18" t="str">
        <x:f>IF($B66="","",IF(COUNTIF('共享事件'!$A$2:$A$301,$B66)&lt;&gt;1,"事件ID缺失或重复",INDEX('共享事件'!$A$2:$M$301,MATCH($B66,'共享事件'!$A$2:$A$301,0),3)))</x:f>
      </x:c>
      <x:c r="M66" s="18" t="str">
        <x:f>IF($B66="","",IF(COUNTIF('共享事件'!$A$2:$A$301,$B66)&lt;&gt;1,"事件ID缺失或重复",INDEX('共享事件'!$A$2:$M$301,MATCH($B66,'共享事件'!$A$2:$A$301,0),4)))</x:f>
      </x:c>
      <x:c r="N66" s="17" t="str">
        <x:f>IF($B66="","",IF(COUNTIF('共享事件'!$A$2:$A$301,$B66)&lt;&gt;1,"事件ID缺失或重复",INDEX('共享事件'!$A$2:$M$301,MATCH($B66,'共享事件'!$A$2:$A$301,0),7)))</x:f>
      </x:c>
      <x:c r="O66" s="17" t="n">
        <x:f>IF($A66="",0,IF(AND($C66='季度总览'!$D$3,$L66='季度总览'!$B$3,OR('季度总览'!$F$3="全部",$D66='季度总览'!$F$3,$D66="全国",$D66="全球")),1,0))</x:f>
        <x:v>0</x:v>
      </x:c>
      <x:c r="P66" s="17" t="str">
        <x:f>IF($A66="","",$K66&amp;"【"&amp;$N66&amp;"】"&amp;CHAR(10)&amp;$D66&amp;"："&amp;$G66)</x:f>
      </x:c>
    </x:row>
    <x:row r="67">
      <x:c r="K67" s="17" t="str">
        <x:f>IF($B67="","",IF(COUNTIF('共享事件'!$A$2:$A$301,$B67)&lt;&gt;1,"事件ID缺失或重复",INDEX('共享事件'!$A$2:$M$301,MATCH($B67,'共享事件'!$A$2:$A$301,0),2)))</x:f>
      </x:c>
      <x:c r="L67" s="18" t="str">
        <x:f>IF($B67="","",IF(COUNTIF('共享事件'!$A$2:$A$301,$B67)&lt;&gt;1,"事件ID缺失或重复",INDEX('共享事件'!$A$2:$M$301,MATCH($B67,'共享事件'!$A$2:$A$301,0),3)))</x:f>
      </x:c>
      <x:c r="M67" s="18" t="str">
        <x:f>IF($B67="","",IF(COUNTIF('共享事件'!$A$2:$A$301,$B67)&lt;&gt;1,"事件ID缺失或重复",INDEX('共享事件'!$A$2:$M$301,MATCH($B67,'共享事件'!$A$2:$A$301,0),4)))</x:f>
      </x:c>
      <x:c r="N67" s="17" t="str">
        <x:f>IF($B67="","",IF(COUNTIF('共享事件'!$A$2:$A$301,$B67)&lt;&gt;1,"事件ID缺失或重复",INDEX('共享事件'!$A$2:$M$301,MATCH($B67,'共享事件'!$A$2:$A$301,0),7)))</x:f>
      </x:c>
      <x:c r="O67" s="17" t="n">
        <x:f>IF($A67="",0,IF(AND($C67='季度总览'!$D$3,$L67='季度总览'!$B$3,OR('季度总览'!$F$3="全部",$D67='季度总览'!$F$3,$D67="全国",$D67="全球")),1,0))</x:f>
        <x:v>0</x:v>
      </x:c>
      <x:c r="P67" s="17" t="str">
        <x:f>IF($A67="","",$K67&amp;"【"&amp;$N67&amp;"】"&amp;CHAR(10)&amp;$D67&amp;"："&amp;$G67)</x:f>
      </x:c>
    </x:row>
    <x:row r="68">
      <x:c r="K68" s="17" t="str">
        <x:f>IF($B68="","",IF(COUNTIF('共享事件'!$A$2:$A$301,$B68)&lt;&gt;1,"事件ID缺失或重复",INDEX('共享事件'!$A$2:$M$301,MATCH($B68,'共享事件'!$A$2:$A$301,0),2)))</x:f>
      </x:c>
      <x:c r="L68" s="18" t="str">
        <x:f>IF($B68="","",IF(COUNTIF('共享事件'!$A$2:$A$301,$B68)&lt;&gt;1,"事件ID缺失或重复",INDEX('共享事件'!$A$2:$M$301,MATCH($B68,'共享事件'!$A$2:$A$301,0),3)))</x:f>
      </x:c>
      <x:c r="M68" s="18" t="str">
        <x:f>IF($B68="","",IF(COUNTIF('共享事件'!$A$2:$A$301,$B68)&lt;&gt;1,"事件ID缺失或重复",INDEX('共享事件'!$A$2:$M$301,MATCH($B68,'共享事件'!$A$2:$A$301,0),4)))</x:f>
      </x:c>
      <x:c r="N68" s="17" t="str">
        <x:f>IF($B68="","",IF(COUNTIF('共享事件'!$A$2:$A$301,$B68)&lt;&gt;1,"事件ID缺失或重复",INDEX('共享事件'!$A$2:$M$301,MATCH($B68,'共享事件'!$A$2:$A$301,0),7)))</x:f>
      </x:c>
      <x:c r="O68" s="17" t="n">
        <x:f>IF($A68="",0,IF(AND($C68='季度总览'!$D$3,$L68='季度总览'!$B$3,OR('季度总览'!$F$3="全部",$D68='季度总览'!$F$3,$D68="全国",$D68="全球")),1,0))</x:f>
        <x:v>0</x:v>
      </x:c>
      <x:c r="P68" s="17" t="str">
        <x:f>IF($A68="","",$K68&amp;"【"&amp;$N68&amp;"】"&amp;CHAR(10)&amp;$D68&amp;"："&amp;$G68)</x:f>
      </x:c>
    </x:row>
    <x:row r="69">
      <x:c r="K69" s="17" t="str">
        <x:f>IF($B69="","",IF(COUNTIF('共享事件'!$A$2:$A$301,$B69)&lt;&gt;1,"事件ID缺失或重复",INDEX('共享事件'!$A$2:$M$301,MATCH($B69,'共享事件'!$A$2:$A$301,0),2)))</x:f>
      </x:c>
      <x:c r="L69" s="18" t="str">
        <x:f>IF($B69="","",IF(COUNTIF('共享事件'!$A$2:$A$301,$B69)&lt;&gt;1,"事件ID缺失或重复",INDEX('共享事件'!$A$2:$M$301,MATCH($B69,'共享事件'!$A$2:$A$301,0),3)))</x:f>
      </x:c>
      <x:c r="M69" s="18" t="str">
        <x:f>IF($B69="","",IF(COUNTIF('共享事件'!$A$2:$A$301,$B69)&lt;&gt;1,"事件ID缺失或重复",INDEX('共享事件'!$A$2:$M$301,MATCH($B69,'共享事件'!$A$2:$A$301,0),4)))</x:f>
      </x:c>
      <x:c r="N69" s="17" t="str">
        <x:f>IF($B69="","",IF(COUNTIF('共享事件'!$A$2:$A$301,$B69)&lt;&gt;1,"事件ID缺失或重复",INDEX('共享事件'!$A$2:$M$301,MATCH($B69,'共享事件'!$A$2:$A$301,0),7)))</x:f>
      </x:c>
      <x:c r="O69" s="17" t="n">
        <x:f>IF($A69="",0,IF(AND($C69='季度总览'!$D$3,$L69='季度总览'!$B$3,OR('季度总览'!$F$3="全部",$D69='季度总览'!$F$3,$D69="全国",$D69="全球")),1,0))</x:f>
        <x:v>0</x:v>
      </x:c>
      <x:c r="P69" s="17" t="str">
        <x:f>IF($A69="","",$K69&amp;"【"&amp;$N69&amp;"】"&amp;CHAR(10)&amp;$D69&amp;"："&amp;$G69)</x:f>
      </x:c>
    </x:row>
    <x:row r="70">
      <x:c r="K70" s="17" t="str">
        <x:f>IF($B70="","",IF(COUNTIF('共享事件'!$A$2:$A$301,$B70)&lt;&gt;1,"事件ID缺失或重复",INDEX('共享事件'!$A$2:$M$301,MATCH($B70,'共享事件'!$A$2:$A$301,0),2)))</x:f>
      </x:c>
      <x:c r="L70" s="18" t="str">
        <x:f>IF($B70="","",IF(COUNTIF('共享事件'!$A$2:$A$301,$B70)&lt;&gt;1,"事件ID缺失或重复",INDEX('共享事件'!$A$2:$M$301,MATCH($B70,'共享事件'!$A$2:$A$301,0),3)))</x:f>
      </x:c>
      <x:c r="M70" s="18" t="str">
        <x:f>IF($B70="","",IF(COUNTIF('共享事件'!$A$2:$A$301,$B70)&lt;&gt;1,"事件ID缺失或重复",INDEX('共享事件'!$A$2:$M$301,MATCH($B70,'共享事件'!$A$2:$A$301,0),4)))</x:f>
      </x:c>
      <x:c r="N70" s="17" t="str">
        <x:f>IF($B70="","",IF(COUNTIF('共享事件'!$A$2:$A$301,$B70)&lt;&gt;1,"事件ID缺失或重复",INDEX('共享事件'!$A$2:$M$301,MATCH($B70,'共享事件'!$A$2:$A$301,0),7)))</x:f>
      </x:c>
      <x:c r="O70" s="17" t="n">
        <x:f>IF($A70="",0,IF(AND($C70='季度总览'!$D$3,$L70='季度总览'!$B$3,OR('季度总览'!$F$3="全部",$D70='季度总览'!$F$3,$D70="全国",$D70="全球")),1,0))</x:f>
        <x:v>0</x:v>
      </x:c>
      <x:c r="P70" s="17" t="str">
        <x:f>IF($A70="","",$K70&amp;"【"&amp;$N70&amp;"】"&amp;CHAR(10)&amp;$D70&amp;"："&amp;$G70)</x:f>
      </x:c>
    </x:row>
    <x:row r="71">
      <x:c r="K71" s="17" t="str">
        <x:f>IF($B71="","",IF(COUNTIF('共享事件'!$A$2:$A$301,$B71)&lt;&gt;1,"事件ID缺失或重复",INDEX('共享事件'!$A$2:$M$301,MATCH($B71,'共享事件'!$A$2:$A$301,0),2)))</x:f>
      </x:c>
      <x:c r="L71" s="18" t="str">
        <x:f>IF($B71="","",IF(COUNTIF('共享事件'!$A$2:$A$301,$B71)&lt;&gt;1,"事件ID缺失或重复",INDEX('共享事件'!$A$2:$M$301,MATCH($B71,'共享事件'!$A$2:$A$301,0),3)))</x:f>
      </x:c>
      <x:c r="M71" s="18" t="str">
        <x:f>IF($B71="","",IF(COUNTIF('共享事件'!$A$2:$A$301,$B71)&lt;&gt;1,"事件ID缺失或重复",INDEX('共享事件'!$A$2:$M$301,MATCH($B71,'共享事件'!$A$2:$A$301,0),4)))</x:f>
      </x:c>
      <x:c r="N71" s="17" t="str">
        <x:f>IF($B71="","",IF(COUNTIF('共享事件'!$A$2:$A$301,$B71)&lt;&gt;1,"事件ID缺失或重复",INDEX('共享事件'!$A$2:$M$301,MATCH($B71,'共享事件'!$A$2:$A$301,0),7)))</x:f>
      </x:c>
      <x:c r="O71" s="17" t="n">
        <x:f>IF($A71="",0,IF(AND($C71='季度总览'!$D$3,$L71='季度总览'!$B$3,OR('季度总览'!$F$3="全部",$D71='季度总览'!$F$3,$D71="全国",$D71="全球")),1,0))</x:f>
        <x:v>0</x:v>
      </x:c>
      <x:c r="P71" s="17" t="str">
        <x:f>IF($A71="","",$K71&amp;"【"&amp;$N71&amp;"】"&amp;CHAR(10)&amp;$D71&amp;"："&amp;$G71)</x:f>
      </x:c>
    </x:row>
    <x:row r="72">
      <x:c r="K72" s="17" t="str">
        <x:f>IF($B72="","",IF(COUNTIF('共享事件'!$A$2:$A$301,$B72)&lt;&gt;1,"事件ID缺失或重复",INDEX('共享事件'!$A$2:$M$301,MATCH($B72,'共享事件'!$A$2:$A$301,0),2)))</x:f>
      </x:c>
      <x:c r="L72" s="18" t="str">
        <x:f>IF($B72="","",IF(COUNTIF('共享事件'!$A$2:$A$301,$B72)&lt;&gt;1,"事件ID缺失或重复",INDEX('共享事件'!$A$2:$M$301,MATCH($B72,'共享事件'!$A$2:$A$301,0),3)))</x:f>
      </x:c>
      <x:c r="M72" s="18" t="str">
        <x:f>IF($B72="","",IF(COUNTIF('共享事件'!$A$2:$A$301,$B72)&lt;&gt;1,"事件ID缺失或重复",INDEX('共享事件'!$A$2:$M$301,MATCH($B72,'共享事件'!$A$2:$A$301,0),4)))</x:f>
      </x:c>
      <x:c r="N72" s="17" t="str">
        <x:f>IF($B72="","",IF(COUNTIF('共享事件'!$A$2:$A$301,$B72)&lt;&gt;1,"事件ID缺失或重复",INDEX('共享事件'!$A$2:$M$301,MATCH($B72,'共享事件'!$A$2:$A$301,0),7)))</x:f>
      </x:c>
      <x:c r="O72" s="17" t="n">
        <x:f>IF($A72="",0,IF(AND($C72='季度总览'!$D$3,$L72='季度总览'!$B$3,OR('季度总览'!$F$3="全部",$D72='季度总览'!$F$3,$D72="全国",$D72="全球")),1,0))</x:f>
        <x:v>0</x:v>
      </x:c>
      <x:c r="P72" s="17" t="str">
        <x:f>IF($A72="","",$K72&amp;"【"&amp;$N72&amp;"】"&amp;CHAR(10)&amp;$D72&amp;"："&amp;$G72)</x:f>
      </x:c>
    </x:row>
    <x:row r="73">
      <x:c r="K73" s="17" t="str">
        <x:f>IF($B73="","",IF(COUNTIF('共享事件'!$A$2:$A$301,$B73)&lt;&gt;1,"事件ID缺失或重复",INDEX('共享事件'!$A$2:$M$301,MATCH($B73,'共享事件'!$A$2:$A$301,0),2)))</x:f>
      </x:c>
      <x:c r="L73" s="18" t="str">
        <x:f>IF($B73="","",IF(COUNTIF('共享事件'!$A$2:$A$301,$B73)&lt;&gt;1,"事件ID缺失或重复",INDEX('共享事件'!$A$2:$M$301,MATCH($B73,'共享事件'!$A$2:$A$301,0),3)))</x:f>
      </x:c>
      <x:c r="M73" s="18" t="str">
        <x:f>IF($B73="","",IF(COUNTIF('共享事件'!$A$2:$A$301,$B73)&lt;&gt;1,"事件ID缺失或重复",INDEX('共享事件'!$A$2:$M$301,MATCH($B73,'共享事件'!$A$2:$A$301,0),4)))</x:f>
      </x:c>
      <x:c r="N73" s="17" t="str">
        <x:f>IF($B73="","",IF(COUNTIF('共享事件'!$A$2:$A$301,$B73)&lt;&gt;1,"事件ID缺失或重复",INDEX('共享事件'!$A$2:$M$301,MATCH($B73,'共享事件'!$A$2:$A$301,0),7)))</x:f>
      </x:c>
      <x:c r="O73" s="17" t="n">
        <x:f>IF($A73="",0,IF(AND($C73='季度总览'!$D$3,$L73='季度总览'!$B$3,OR('季度总览'!$F$3="全部",$D73='季度总览'!$F$3,$D73="全国",$D73="全球")),1,0))</x:f>
        <x:v>0</x:v>
      </x:c>
      <x:c r="P73" s="17" t="str">
        <x:f>IF($A73="","",$K73&amp;"【"&amp;$N73&amp;"】"&amp;CHAR(10)&amp;$D73&amp;"："&amp;$G73)</x:f>
      </x:c>
    </x:row>
    <x:row r="74">
      <x:c r="K74" s="17" t="str">
        <x:f>IF($B74="","",IF(COUNTIF('共享事件'!$A$2:$A$301,$B74)&lt;&gt;1,"事件ID缺失或重复",INDEX('共享事件'!$A$2:$M$301,MATCH($B74,'共享事件'!$A$2:$A$301,0),2)))</x:f>
      </x:c>
      <x:c r="L74" s="18" t="str">
        <x:f>IF($B74="","",IF(COUNTIF('共享事件'!$A$2:$A$301,$B74)&lt;&gt;1,"事件ID缺失或重复",INDEX('共享事件'!$A$2:$M$301,MATCH($B74,'共享事件'!$A$2:$A$301,0),3)))</x:f>
      </x:c>
      <x:c r="M74" s="18" t="str">
        <x:f>IF($B74="","",IF(COUNTIF('共享事件'!$A$2:$A$301,$B74)&lt;&gt;1,"事件ID缺失或重复",INDEX('共享事件'!$A$2:$M$301,MATCH($B74,'共享事件'!$A$2:$A$301,0),4)))</x:f>
      </x:c>
      <x:c r="N74" s="17" t="str">
        <x:f>IF($B74="","",IF(COUNTIF('共享事件'!$A$2:$A$301,$B74)&lt;&gt;1,"事件ID缺失或重复",INDEX('共享事件'!$A$2:$M$301,MATCH($B74,'共享事件'!$A$2:$A$301,0),7)))</x:f>
      </x:c>
      <x:c r="O74" s="17" t="n">
        <x:f>IF($A74="",0,IF(AND($C74='季度总览'!$D$3,$L74='季度总览'!$B$3,OR('季度总览'!$F$3="全部",$D74='季度总览'!$F$3,$D74="全国",$D74="全球")),1,0))</x:f>
        <x:v>0</x:v>
      </x:c>
      <x:c r="P74" s="17" t="str">
        <x:f>IF($A74="","",$K74&amp;"【"&amp;$N74&amp;"】"&amp;CHAR(10)&amp;$D74&amp;"："&amp;$G74)</x:f>
      </x:c>
    </x:row>
    <x:row r="75">
      <x:c r="K75" s="17" t="str">
        <x:f>IF($B75="","",IF(COUNTIF('共享事件'!$A$2:$A$301,$B75)&lt;&gt;1,"事件ID缺失或重复",INDEX('共享事件'!$A$2:$M$301,MATCH($B75,'共享事件'!$A$2:$A$301,0),2)))</x:f>
      </x:c>
      <x:c r="L75" s="18" t="str">
        <x:f>IF($B75="","",IF(COUNTIF('共享事件'!$A$2:$A$301,$B75)&lt;&gt;1,"事件ID缺失或重复",INDEX('共享事件'!$A$2:$M$301,MATCH($B75,'共享事件'!$A$2:$A$301,0),3)))</x:f>
      </x:c>
      <x:c r="M75" s="18" t="str">
        <x:f>IF($B75="","",IF(COUNTIF('共享事件'!$A$2:$A$301,$B75)&lt;&gt;1,"事件ID缺失或重复",INDEX('共享事件'!$A$2:$M$301,MATCH($B75,'共享事件'!$A$2:$A$301,0),4)))</x:f>
      </x:c>
      <x:c r="N75" s="17" t="str">
        <x:f>IF($B75="","",IF(COUNTIF('共享事件'!$A$2:$A$301,$B75)&lt;&gt;1,"事件ID缺失或重复",INDEX('共享事件'!$A$2:$M$301,MATCH($B75,'共享事件'!$A$2:$A$301,0),7)))</x:f>
      </x:c>
      <x:c r="O75" s="17" t="n">
        <x:f>IF($A75="",0,IF(AND($C75='季度总览'!$D$3,$L75='季度总览'!$B$3,OR('季度总览'!$F$3="全部",$D75='季度总览'!$F$3,$D75="全国",$D75="全球")),1,0))</x:f>
        <x:v>0</x:v>
      </x:c>
      <x:c r="P75" s="17" t="str">
        <x:f>IF($A75="","",$K75&amp;"【"&amp;$N75&amp;"】"&amp;CHAR(10)&amp;$D75&amp;"："&amp;$G75)</x:f>
      </x:c>
    </x:row>
    <x:row r="76">
      <x:c r="K76" s="17" t="str">
        <x:f>IF($B76="","",IF(COUNTIF('共享事件'!$A$2:$A$301,$B76)&lt;&gt;1,"事件ID缺失或重复",INDEX('共享事件'!$A$2:$M$301,MATCH($B76,'共享事件'!$A$2:$A$301,0),2)))</x:f>
      </x:c>
      <x:c r="L76" s="18" t="str">
        <x:f>IF($B76="","",IF(COUNTIF('共享事件'!$A$2:$A$301,$B76)&lt;&gt;1,"事件ID缺失或重复",INDEX('共享事件'!$A$2:$M$301,MATCH($B76,'共享事件'!$A$2:$A$301,0),3)))</x:f>
      </x:c>
      <x:c r="M76" s="18" t="str">
        <x:f>IF($B76="","",IF(COUNTIF('共享事件'!$A$2:$A$301,$B76)&lt;&gt;1,"事件ID缺失或重复",INDEX('共享事件'!$A$2:$M$301,MATCH($B76,'共享事件'!$A$2:$A$301,0),4)))</x:f>
      </x:c>
      <x:c r="N76" s="17" t="str">
        <x:f>IF($B76="","",IF(COUNTIF('共享事件'!$A$2:$A$301,$B76)&lt;&gt;1,"事件ID缺失或重复",INDEX('共享事件'!$A$2:$M$301,MATCH($B76,'共享事件'!$A$2:$A$301,0),7)))</x:f>
      </x:c>
      <x:c r="O76" s="17" t="n">
        <x:f>IF($A76="",0,IF(AND($C76='季度总览'!$D$3,$L76='季度总览'!$B$3,OR('季度总览'!$F$3="全部",$D76='季度总览'!$F$3,$D76="全国",$D76="全球")),1,0))</x:f>
        <x:v>0</x:v>
      </x:c>
      <x:c r="P76" s="17" t="str">
        <x:f>IF($A76="","",$K76&amp;"【"&amp;$N76&amp;"】"&amp;CHAR(10)&amp;$D76&amp;"："&amp;$G76)</x:f>
      </x:c>
    </x:row>
    <x:row r="77">
      <x:c r="K77" s="17" t="str">
        <x:f>IF($B77="","",IF(COUNTIF('共享事件'!$A$2:$A$301,$B77)&lt;&gt;1,"事件ID缺失或重复",INDEX('共享事件'!$A$2:$M$301,MATCH($B77,'共享事件'!$A$2:$A$301,0),2)))</x:f>
      </x:c>
      <x:c r="L77" s="18" t="str">
        <x:f>IF($B77="","",IF(COUNTIF('共享事件'!$A$2:$A$301,$B77)&lt;&gt;1,"事件ID缺失或重复",INDEX('共享事件'!$A$2:$M$301,MATCH($B77,'共享事件'!$A$2:$A$301,0),3)))</x:f>
      </x:c>
      <x:c r="M77" s="18" t="str">
        <x:f>IF($B77="","",IF(COUNTIF('共享事件'!$A$2:$A$301,$B77)&lt;&gt;1,"事件ID缺失或重复",INDEX('共享事件'!$A$2:$M$301,MATCH($B77,'共享事件'!$A$2:$A$301,0),4)))</x:f>
      </x:c>
      <x:c r="N77" s="17" t="str">
        <x:f>IF($B77="","",IF(COUNTIF('共享事件'!$A$2:$A$301,$B77)&lt;&gt;1,"事件ID缺失或重复",INDEX('共享事件'!$A$2:$M$301,MATCH($B77,'共享事件'!$A$2:$A$301,0),7)))</x:f>
      </x:c>
      <x:c r="O77" s="17" t="n">
        <x:f>IF($A77="",0,IF(AND($C77='季度总览'!$D$3,$L77='季度总览'!$B$3,OR('季度总览'!$F$3="全部",$D77='季度总览'!$F$3,$D77="全国",$D77="全球")),1,0))</x:f>
        <x:v>0</x:v>
      </x:c>
      <x:c r="P77" s="17" t="str">
        <x:f>IF($A77="","",$K77&amp;"【"&amp;$N77&amp;"】"&amp;CHAR(10)&amp;$D77&amp;"："&amp;$G77)</x:f>
      </x:c>
    </x:row>
    <x:row r="78">
      <x:c r="K78" s="17" t="str">
        <x:f>IF($B78="","",IF(COUNTIF('共享事件'!$A$2:$A$301,$B78)&lt;&gt;1,"事件ID缺失或重复",INDEX('共享事件'!$A$2:$M$301,MATCH($B78,'共享事件'!$A$2:$A$301,0),2)))</x:f>
      </x:c>
      <x:c r="L78" s="18" t="str">
        <x:f>IF($B78="","",IF(COUNTIF('共享事件'!$A$2:$A$301,$B78)&lt;&gt;1,"事件ID缺失或重复",INDEX('共享事件'!$A$2:$M$301,MATCH($B78,'共享事件'!$A$2:$A$301,0),3)))</x:f>
      </x:c>
      <x:c r="M78" s="18" t="str">
        <x:f>IF($B78="","",IF(COUNTIF('共享事件'!$A$2:$A$301,$B78)&lt;&gt;1,"事件ID缺失或重复",INDEX('共享事件'!$A$2:$M$301,MATCH($B78,'共享事件'!$A$2:$A$301,0),4)))</x:f>
      </x:c>
      <x:c r="N78" s="17" t="str">
        <x:f>IF($B78="","",IF(COUNTIF('共享事件'!$A$2:$A$301,$B78)&lt;&gt;1,"事件ID缺失或重复",INDEX('共享事件'!$A$2:$M$301,MATCH($B78,'共享事件'!$A$2:$A$301,0),7)))</x:f>
      </x:c>
      <x:c r="O78" s="17" t="n">
        <x:f>IF($A78="",0,IF(AND($C78='季度总览'!$D$3,$L78='季度总览'!$B$3,OR('季度总览'!$F$3="全部",$D78='季度总览'!$F$3,$D78="全国",$D78="全球")),1,0))</x:f>
        <x:v>0</x:v>
      </x:c>
      <x:c r="P78" s="17" t="str">
        <x:f>IF($A78="","",$K78&amp;"【"&amp;$N78&amp;"】"&amp;CHAR(10)&amp;$D78&amp;"："&amp;$G78)</x:f>
      </x:c>
    </x:row>
    <x:row r="79">
      <x:c r="K79" s="17" t="str">
        <x:f>IF($B79="","",IF(COUNTIF('共享事件'!$A$2:$A$301,$B79)&lt;&gt;1,"事件ID缺失或重复",INDEX('共享事件'!$A$2:$M$301,MATCH($B79,'共享事件'!$A$2:$A$301,0),2)))</x:f>
      </x:c>
      <x:c r="L79" s="18" t="str">
        <x:f>IF($B79="","",IF(COUNTIF('共享事件'!$A$2:$A$301,$B79)&lt;&gt;1,"事件ID缺失或重复",INDEX('共享事件'!$A$2:$M$301,MATCH($B79,'共享事件'!$A$2:$A$301,0),3)))</x:f>
      </x:c>
      <x:c r="M79" s="18" t="str">
        <x:f>IF($B79="","",IF(COUNTIF('共享事件'!$A$2:$A$301,$B79)&lt;&gt;1,"事件ID缺失或重复",INDEX('共享事件'!$A$2:$M$301,MATCH($B79,'共享事件'!$A$2:$A$301,0),4)))</x:f>
      </x:c>
      <x:c r="N79" s="17" t="str">
        <x:f>IF($B79="","",IF(COUNTIF('共享事件'!$A$2:$A$301,$B79)&lt;&gt;1,"事件ID缺失或重复",INDEX('共享事件'!$A$2:$M$301,MATCH($B79,'共享事件'!$A$2:$A$301,0),7)))</x:f>
      </x:c>
      <x:c r="O79" s="17" t="n">
        <x:f>IF($A79="",0,IF(AND($C79='季度总览'!$D$3,$L79='季度总览'!$B$3,OR('季度总览'!$F$3="全部",$D79='季度总览'!$F$3,$D79="全国",$D79="全球")),1,0))</x:f>
        <x:v>0</x:v>
      </x:c>
      <x:c r="P79" s="17" t="str">
        <x:f>IF($A79="","",$K79&amp;"【"&amp;$N79&amp;"】"&amp;CHAR(10)&amp;$D79&amp;"："&amp;$G79)</x:f>
      </x:c>
    </x:row>
    <x:row r="80">
      <x:c r="K80" s="17" t="str">
        <x:f>IF($B80="","",IF(COUNTIF('共享事件'!$A$2:$A$301,$B80)&lt;&gt;1,"事件ID缺失或重复",INDEX('共享事件'!$A$2:$M$301,MATCH($B80,'共享事件'!$A$2:$A$301,0),2)))</x:f>
      </x:c>
      <x:c r="L80" s="18" t="str">
        <x:f>IF($B80="","",IF(COUNTIF('共享事件'!$A$2:$A$301,$B80)&lt;&gt;1,"事件ID缺失或重复",INDEX('共享事件'!$A$2:$M$301,MATCH($B80,'共享事件'!$A$2:$A$301,0),3)))</x:f>
      </x:c>
      <x:c r="M80" s="18" t="str">
        <x:f>IF($B80="","",IF(COUNTIF('共享事件'!$A$2:$A$301,$B80)&lt;&gt;1,"事件ID缺失或重复",INDEX('共享事件'!$A$2:$M$301,MATCH($B80,'共享事件'!$A$2:$A$301,0),4)))</x:f>
      </x:c>
      <x:c r="N80" s="17" t="str">
        <x:f>IF($B80="","",IF(COUNTIF('共享事件'!$A$2:$A$301,$B80)&lt;&gt;1,"事件ID缺失或重复",INDEX('共享事件'!$A$2:$M$301,MATCH($B80,'共享事件'!$A$2:$A$301,0),7)))</x:f>
      </x:c>
      <x:c r="O80" s="17" t="n">
        <x:f>IF($A80="",0,IF(AND($C80='季度总览'!$D$3,$L80='季度总览'!$B$3,OR('季度总览'!$F$3="全部",$D80='季度总览'!$F$3,$D80="全国",$D80="全球")),1,0))</x:f>
        <x:v>0</x:v>
      </x:c>
      <x:c r="P80" s="17" t="str">
        <x:f>IF($A80="","",$K80&amp;"【"&amp;$N80&amp;"】"&amp;CHAR(10)&amp;$D80&amp;"："&amp;$G80)</x:f>
      </x:c>
    </x:row>
    <x:row r="81">
      <x:c r="K81" s="17" t="str">
        <x:f>IF($B81="","",IF(COUNTIF('共享事件'!$A$2:$A$301,$B81)&lt;&gt;1,"事件ID缺失或重复",INDEX('共享事件'!$A$2:$M$301,MATCH($B81,'共享事件'!$A$2:$A$301,0),2)))</x:f>
      </x:c>
      <x:c r="L81" s="18" t="str">
        <x:f>IF($B81="","",IF(COUNTIF('共享事件'!$A$2:$A$301,$B81)&lt;&gt;1,"事件ID缺失或重复",INDEX('共享事件'!$A$2:$M$301,MATCH($B81,'共享事件'!$A$2:$A$301,0),3)))</x:f>
      </x:c>
      <x:c r="M81" s="18" t="str">
        <x:f>IF($B81="","",IF(COUNTIF('共享事件'!$A$2:$A$301,$B81)&lt;&gt;1,"事件ID缺失或重复",INDEX('共享事件'!$A$2:$M$301,MATCH($B81,'共享事件'!$A$2:$A$301,0),4)))</x:f>
      </x:c>
      <x:c r="N81" s="17" t="str">
        <x:f>IF($B81="","",IF(COUNTIF('共享事件'!$A$2:$A$301,$B81)&lt;&gt;1,"事件ID缺失或重复",INDEX('共享事件'!$A$2:$M$301,MATCH($B81,'共享事件'!$A$2:$A$301,0),7)))</x:f>
      </x:c>
      <x:c r="O81" s="17" t="n">
        <x:f>IF($A81="",0,IF(AND($C81='季度总览'!$D$3,$L81='季度总览'!$B$3,OR('季度总览'!$F$3="全部",$D81='季度总览'!$F$3,$D81="全国",$D81="全球")),1,0))</x:f>
        <x:v>0</x:v>
      </x:c>
      <x:c r="P81" s="17" t="str">
        <x:f>IF($A81="","",$K81&amp;"【"&amp;$N81&amp;"】"&amp;CHAR(10)&amp;$D81&amp;"："&amp;$G81)</x:f>
      </x:c>
    </x:row>
    <x:row r="82">
      <x:c r="K82" s="17" t="str">
        <x:f>IF($B82="","",IF(COUNTIF('共享事件'!$A$2:$A$301,$B82)&lt;&gt;1,"事件ID缺失或重复",INDEX('共享事件'!$A$2:$M$301,MATCH($B82,'共享事件'!$A$2:$A$301,0),2)))</x:f>
      </x:c>
      <x:c r="L82" s="18" t="str">
        <x:f>IF($B82="","",IF(COUNTIF('共享事件'!$A$2:$A$301,$B82)&lt;&gt;1,"事件ID缺失或重复",INDEX('共享事件'!$A$2:$M$301,MATCH($B82,'共享事件'!$A$2:$A$301,0),3)))</x:f>
      </x:c>
      <x:c r="M82" s="18" t="str">
        <x:f>IF($B82="","",IF(COUNTIF('共享事件'!$A$2:$A$301,$B82)&lt;&gt;1,"事件ID缺失或重复",INDEX('共享事件'!$A$2:$M$301,MATCH($B82,'共享事件'!$A$2:$A$301,0),4)))</x:f>
      </x:c>
      <x:c r="N82" s="17" t="str">
        <x:f>IF($B82="","",IF(COUNTIF('共享事件'!$A$2:$A$301,$B82)&lt;&gt;1,"事件ID缺失或重复",INDEX('共享事件'!$A$2:$M$301,MATCH($B82,'共享事件'!$A$2:$A$301,0),7)))</x:f>
      </x:c>
      <x:c r="O82" s="17" t="n">
        <x:f>IF($A82="",0,IF(AND($C82='季度总览'!$D$3,$L82='季度总览'!$B$3,OR('季度总览'!$F$3="全部",$D82='季度总览'!$F$3,$D82="全国",$D82="全球")),1,0))</x:f>
        <x:v>0</x:v>
      </x:c>
      <x:c r="P82" s="17" t="str">
        <x:f>IF($A82="","",$K82&amp;"【"&amp;$N82&amp;"】"&amp;CHAR(10)&amp;$D82&amp;"："&amp;$G82)</x:f>
      </x:c>
    </x:row>
    <x:row r="83">
      <x:c r="K83" s="17" t="str">
        <x:f>IF($B83="","",IF(COUNTIF('共享事件'!$A$2:$A$301,$B83)&lt;&gt;1,"事件ID缺失或重复",INDEX('共享事件'!$A$2:$M$301,MATCH($B83,'共享事件'!$A$2:$A$301,0),2)))</x:f>
      </x:c>
      <x:c r="L83" s="18" t="str">
        <x:f>IF($B83="","",IF(COUNTIF('共享事件'!$A$2:$A$301,$B83)&lt;&gt;1,"事件ID缺失或重复",INDEX('共享事件'!$A$2:$M$301,MATCH($B83,'共享事件'!$A$2:$A$301,0),3)))</x:f>
      </x:c>
      <x:c r="M83" s="18" t="str">
        <x:f>IF($B83="","",IF(COUNTIF('共享事件'!$A$2:$A$301,$B83)&lt;&gt;1,"事件ID缺失或重复",INDEX('共享事件'!$A$2:$M$301,MATCH($B83,'共享事件'!$A$2:$A$301,0),4)))</x:f>
      </x:c>
      <x:c r="N83" s="17" t="str">
        <x:f>IF($B83="","",IF(COUNTIF('共享事件'!$A$2:$A$301,$B83)&lt;&gt;1,"事件ID缺失或重复",INDEX('共享事件'!$A$2:$M$301,MATCH($B83,'共享事件'!$A$2:$A$301,0),7)))</x:f>
      </x:c>
      <x:c r="O83" s="17" t="n">
        <x:f>IF($A83="",0,IF(AND($C83='季度总览'!$D$3,$L83='季度总览'!$B$3,OR('季度总览'!$F$3="全部",$D83='季度总览'!$F$3,$D83="全国",$D83="全球")),1,0))</x:f>
        <x:v>0</x:v>
      </x:c>
      <x:c r="P83" s="17" t="str">
        <x:f>IF($A83="","",$K83&amp;"【"&amp;$N83&amp;"】"&amp;CHAR(10)&amp;$D83&amp;"："&amp;$G83)</x:f>
      </x:c>
    </x:row>
    <x:row r="84">
      <x:c r="K84" s="17" t="str">
        <x:f>IF($B84="","",IF(COUNTIF('共享事件'!$A$2:$A$301,$B84)&lt;&gt;1,"事件ID缺失或重复",INDEX('共享事件'!$A$2:$M$301,MATCH($B84,'共享事件'!$A$2:$A$301,0),2)))</x:f>
      </x:c>
      <x:c r="L84" s="18" t="str">
        <x:f>IF($B84="","",IF(COUNTIF('共享事件'!$A$2:$A$301,$B84)&lt;&gt;1,"事件ID缺失或重复",INDEX('共享事件'!$A$2:$M$301,MATCH($B84,'共享事件'!$A$2:$A$301,0),3)))</x:f>
      </x:c>
      <x:c r="M84" s="18" t="str">
        <x:f>IF($B84="","",IF(COUNTIF('共享事件'!$A$2:$A$301,$B84)&lt;&gt;1,"事件ID缺失或重复",INDEX('共享事件'!$A$2:$M$301,MATCH($B84,'共享事件'!$A$2:$A$301,0),4)))</x:f>
      </x:c>
      <x:c r="N84" s="17" t="str">
        <x:f>IF($B84="","",IF(COUNTIF('共享事件'!$A$2:$A$301,$B84)&lt;&gt;1,"事件ID缺失或重复",INDEX('共享事件'!$A$2:$M$301,MATCH($B84,'共享事件'!$A$2:$A$301,0),7)))</x:f>
      </x:c>
      <x:c r="O84" s="17" t="n">
        <x:f>IF($A84="",0,IF(AND($C84='季度总览'!$D$3,$L84='季度总览'!$B$3,OR('季度总览'!$F$3="全部",$D84='季度总览'!$F$3,$D84="全国",$D84="全球")),1,0))</x:f>
        <x:v>0</x:v>
      </x:c>
      <x:c r="P84" s="17" t="str">
        <x:f>IF($A84="","",$K84&amp;"【"&amp;$N84&amp;"】"&amp;CHAR(10)&amp;$D84&amp;"："&amp;$G84)</x:f>
      </x:c>
    </x:row>
    <x:row r="85">
      <x:c r="K85" s="17" t="str">
        <x:f>IF($B85="","",IF(COUNTIF('共享事件'!$A$2:$A$301,$B85)&lt;&gt;1,"事件ID缺失或重复",INDEX('共享事件'!$A$2:$M$301,MATCH($B85,'共享事件'!$A$2:$A$301,0),2)))</x:f>
      </x:c>
      <x:c r="L85" s="18" t="str">
        <x:f>IF($B85="","",IF(COUNTIF('共享事件'!$A$2:$A$301,$B85)&lt;&gt;1,"事件ID缺失或重复",INDEX('共享事件'!$A$2:$M$301,MATCH($B85,'共享事件'!$A$2:$A$301,0),3)))</x:f>
      </x:c>
      <x:c r="M85" s="18" t="str">
        <x:f>IF($B85="","",IF(COUNTIF('共享事件'!$A$2:$A$301,$B85)&lt;&gt;1,"事件ID缺失或重复",INDEX('共享事件'!$A$2:$M$301,MATCH($B85,'共享事件'!$A$2:$A$301,0),4)))</x:f>
      </x:c>
      <x:c r="N85" s="17" t="str">
        <x:f>IF($B85="","",IF(COUNTIF('共享事件'!$A$2:$A$301,$B85)&lt;&gt;1,"事件ID缺失或重复",INDEX('共享事件'!$A$2:$M$301,MATCH($B85,'共享事件'!$A$2:$A$301,0),7)))</x:f>
      </x:c>
      <x:c r="O85" s="17" t="n">
        <x:f>IF($A85="",0,IF(AND($C85='季度总览'!$D$3,$L85='季度总览'!$B$3,OR('季度总览'!$F$3="全部",$D85='季度总览'!$F$3,$D85="全国",$D85="全球")),1,0))</x:f>
        <x:v>0</x:v>
      </x:c>
      <x:c r="P85" s="17" t="str">
        <x:f>IF($A85="","",$K85&amp;"【"&amp;$N85&amp;"】"&amp;CHAR(10)&amp;$D85&amp;"："&amp;$G85)</x:f>
      </x:c>
    </x:row>
    <x:row r="86">
      <x:c r="K86" s="17" t="str">
        <x:f>IF($B86="","",IF(COUNTIF('共享事件'!$A$2:$A$301,$B86)&lt;&gt;1,"事件ID缺失或重复",INDEX('共享事件'!$A$2:$M$301,MATCH($B86,'共享事件'!$A$2:$A$301,0),2)))</x:f>
      </x:c>
      <x:c r="L86" s="18" t="str">
        <x:f>IF($B86="","",IF(COUNTIF('共享事件'!$A$2:$A$301,$B86)&lt;&gt;1,"事件ID缺失或重复",INDEX('共享事件'!$A$2:$M$301,MATCH($B86,'共享事件'!$A$2:$A$301,0),3)))</x:f>
      </x:c>
      <x:c r="M86" s="18" t="str">
        <x:f>IF($B86="","",IF(COUNTIF('共享事件'!$A$2:$A$301,$B86)&lt;&gt;1,"事件ID缺失或重复",INDEX('共享事件'!$A$2:$M$301,MATCH($B86,'共享事件'!$A$2:$A$301,0),4)))</x:f>
      </x:c>
      <x:c r="N86" s="17" t="str">
        <x:f>IF($B86="","",IF(COUNTIF('共享事件'!$A$2:$A$301,$B86)&lt;&gt;1,"事件ID缺失或重复",INDEX('共享事件'!$A$2:$M$301,MATCH($B86,'共享事件'!$A$2:$A$301,0),7)))</x:f>
      </x:c>
      <x:c r="O86" s="17" t="n">
        <x:f>IF($A86="",0,IF(AND($C86='季度总览'!$D$3,$L86='季度总览'!$B$3,OR('季度总览'!$F$3="全部",$D86='季度总览'!$F$3,$D86="全国",$D86="全球")),1,0))</x:f>
        <x:v>0</x:v>
      </x:c>
      <x:c r="P86" s="17" t="str">
        <x:f>IF($A86="","",$K86&amp;"【"&amp;$N86&amp;"】"&amp;CHAR(10)&amp;$D86&amp;"："&amp;$G86)</x:f>
      </x:c>
    </x:row>
    <x:row r="87">
      <x:c r="K87" s="17" t="str">
        <x:f>IF($B87="","",IF(COUNTIF('共享事件'!$A$2:$A$301,$B87)&lt;&gt;1,"事件ID缺失或重复",INDEX('共享事件'!$A$2:$M$301,MATCH($B87,'共享事件'!$A$2:$A$301,0),2)))</x:f>
      </x:c>
      <x:c r="L87" s="18" t="str">
        <x:f>IF($B87="","",IF(COUNTIF('共享事件'!$A$2:$A$301,$B87)&lt;&gt;1,"事件ID缺失或重复",INDEX('共享事件'!$A$2:$M$301,MATCH($B87,'共享事件'!$A$2:$A$301,0),3)))</x:f>
      </x:c>
      <x:c r="M87" s="18" t="str">
        <x:f>IF($B87="","",IF(COUNTIF('共享事件'!$A$2:$A$301,$B87)&lt;&gt;1,"事件ID缺失或重复",INDEX('共享事件'!$A$2:$M$301,MATCH($B87,'共享事件'!$A$2:$A$301,0),4)))</x:f>
      </x:c>
      <x:c r="N87" s="17" t="str">
        <x:f>IF($B87="","",IF(COUNTIF('共享事件'!$A$2:$A$301,$B87)&lt;&gt;1,"事件ID缺失或重复",INDEX('共享事件'!$A$2:$M$301,MATCH($B87,'共享事件'!$A$2:$A$301,0),7)))</x:f>
      </x:c>
      <x:c r="O87" s="17" t="n">
        <x:f>IF($A87="",0,IF(AND($C87='季度总览'!$D$3,$L87='季度总览'!$B$3,OR('季度总览'!$F$3="全部",$D87='季度总览'!$F$3,$D87="全国",$D87="全球")),1,0))</x:f>
        <x:v>0</x:v>
      </x:c>
      <x:c r="P87" s="17" t="str">
        <x:f>IF($A87="","",$K87&amp;"【"&amp;$N87&amp;"】"&amp;CHAR(10)&amp;$D87&amp;"："&amp;$G87)</x:f>
      </x:c>
    </x:row>
    <x:row r="88">
      <x:c r="K88" s="17" t="str">
        <x:f>IF($B88="","",IF(COUNTIF('共享事件'!$A$2:$A$301,$B88)&lt;&gt;1,"事件ID缺失或重复",INDEX('共享事件'!$A$2:$M$301,MATCH($B88,'共享事件'!$A$2:$A$301,0),2)))</x:f>
      </x:c>
      <x:c r="L88" s="18" t="str">
        <x:f>IF($B88="","",IF(COUNTIF('共享事件'!$A$2:$A$301,$B88)&lt;&gt;1,"事件ID缺失或重复",INDEX('共享事件'!$A$2:$M$301,MATCH($B88,'共享事件'!$A$2:$A$301,0),3)))</x:f>
      </x:c>
      <x:c r="M88" s="18" t="str">
        <x:f>IF($B88="","",IF(COUNTIF('共享事件'!$A$2:$A$301,$B88)&lt;&gt;1,"事件ID缺失或重复",INDEX('共享事件'!$A$2:$M$301,MATCH($B88,'共享事件'!$A$2:$A$301,0),4)))</x:f>
      </x:c>
      <x:c r="N88" s="17" t="str">
        <x:f>IF($B88="","",IF(COUNTIF('共享事件'!$A$2:$A$301,$B88)&lt;&gt;1,"事件ID缺失或重复",INDEX('共享事件'!$A$2:$M$301,MATCH($B88,'共享事件'!$A$2:$A$301,0),7)))</x:f>
      </x:c>
      <x:c r="O88" s="17" t="n">
        <x:f>IF($A88="",0,IF(AND($C88='季度总览'!$D$3,$L88='季度总览'!$B$3,OR('季度总览'!$F$3="全部",$D88='季度总览'!$F$3,$D88="全国",$D88="全球")),1,0))</x:f>
        <x:v>0</x:v>
      </x:c>
      <x:c r="P88" s="17" t="str">
        <x:f>IF($A88="","",$K88&amp;"【"&amp;$N88&amp;"】"&amp;CHAR(10)&amp;$D88&amp;"："&amp;$G88)</x:f>
      </x:c>
    </x:row>
    <x:row r="89">
      <x:c r="K89" s="17" t="str">
        <x:f>IF($B89="","",IF(COUNTIF('共享事件'!$A$2:$A$301,$B89)&lt;&gt;1,"事件ID缺失或重复",INDEX('共享事件'!$A$2:$M$301,MATCH($B89,'共享事件'!$A$2:$A$301,0),2)))</x:f>
      </x:c>
      <x:c r="L89" s="18" t="str">
        <x:f>IF($B89="","",IF(COUNTIF('共享事件'!$A$2:$A$301,$B89)&lt;&gt;1,"事件ID缺失或重复",INDEX('共享事件'!$A$2:$M$301,MATCH($B89,'共享事件'!$A$2:$A$301,0),3)))</x:f>
      </x:c>
      <x:c r="M89" s="18" t="str">
        <x:f>IF($B89="","",IF(COUNTIF('共享事件'!$A$2:$A$301,$B89)&lt;&gt;1,"事件ID缺失或重复",INDEX('共享事件'!$A$2:$M$301,MATCH($B89,'共享事件'!$A$2:$A$301,0),4)))</x:f>
      </x:c>
      <x:c r="N89" s="17" t="str">
        <x:f>IF($B89="","",IF(COUNTIF('共享事件'!$A$2:$A$301,$B89)&lt;&gt;1,"事件ID缺失或重复",INDEX('共享事件'!$A$2:$M$301,MATCH($B89,'共享事件'!$A$2:$A$301,0),7)))</x:f>
      </x:c>
      <x:c r="O89" s="17" t="n">
        <x:f>IF($A89="",0,IF(AND($C89='季度总览'!$D$3,$L89='季度总览'!$B$3,OR('季度总览'!$F$3="全部",$D89='季度总览'!$F$3,$D89="全国",$D89="全球")),1,0))</x:f>
        <x:v>0</x:v>
      </x:c>
      <x:c r="P89" s="17" t="str">
        <x:f>IF($A89="","",$K89&amp;"【"&amp;$N89&amp;"】"&amp;CHAR(10)&amp;$D89&amp;"："&amp;$G89)</x:f>
      </x:c>
    </x:row>
    <x:row r="90">
      <x:c r="K90" s="17" t="str">
        <x:f>IF($B90="","",IF(COUNTIF('共享事件'!$A$2:$A$301,$B90)&lt;&gt;1,"事件ID缺失或重复",INDEX('共享事件'!$A$2:$M$301,MATCH($B90,'共享事件'!$A$2:$A$301,0),2)))</x:f>
      </x:c>
      <x:c r="L90" s="18" t="str">
        <x:f>IF($B90="","",IF(COUNTIF('共享事件'!$A$2:$A$301,$B90)&lt;&gt;1,"事件ID缺失或重复",INDEX('共享事件'!$A$2:$M$301,MATCH($B90,'共享事件'!$A$2:$A$301,0),3)))</x:f>
      </x:c>
      <x:c r="M90" s="18" t="str">
        <x:f>IF($B90="","",IF(COUNTIF('共享事件'!$A$2:$A$301,$B90)&lt;&gt;1,"事件ID缺失或重复",INDEX('共享事件'!$A$2:$M$301,MATCH($B90,'共享事件'!$A$2:$A$301,0),4)))</x:f>
      </x:c>
      <x:c r="N90" s="17" t="str">
        <x:f>IF($B90="","",IF(COUNTIF('共享事件'!$A$2:$A$301,$B90)&lt;&gt;1,"事件ID缺失或重复",INDEX('共享事件'!$A$2:$M$301,MATCH($B90,'共享事件'!$A$2:$A$301,0),7)))</x:f>
      </x:c>
      <x:c r="O90" s="17" t="n">
        <x:f>IF($A90="",0,IF(AND($C90='季度总览'!$D$3,$L90='季度总览'!$B$3,OR('季度总览'!$F$3="全部",$D90='季度总览'!$F$3,$D90="全国",$D90="全球")),1,0))</x:f>
        <x:v>0</x:v>
      </x:c>
      <x:c r="P90" s="17" t="str">
        <x:f>IF($A90="","",$K90&amp;"【"&amp;$N90&amp;"】"&amp;CHAR(10)&amp;$D90&amp;"："&amp;$G90)</x:f>
      </x:c>
    </x:row>
    <x:row r="91">
      <x:c r="K91" s="17" t="str">
        <x:f>IF($B91="","",IF(COUNTIF('共享事件'!$A$2:$A$301,$B91)&lt;&gt;1,"事件ID缺失或重复",INDEX('共享事件'!$A$2:$M$301,MATCH($B91,'共享事件'!$A$2:$A$301,0),2)))</x:f>
      </x:c>
      <x:c r="L91" s="18" t="str">
        <x:f>IF($B91="","",IF(COUNTIF('共享事件'!$A$2:$A$301,$B91)&lt;&gt;1,"事件ID缺失或重复",INDEX('共享事件'!$A$2:$M$301,MATCH($B91,'共享事件'!$A$2:$A$301,0),3)))</x:f>
      </x:c>
      <x:c r="M91" s="18" t="str">
        <x:f>IF($B91="","",IF(COUNTIF('共享事件'!$A$2:$A$301,$B91)&lt;&gt;1,"事件ID缺失或重复",INDEX('共享事件'!$A$2:$M$301,MATCH($B91,'共享事件'!$A$2:$A$301,0),4)))</x:f>
      </x:c>
      <x:c r="N91" s="17" t="str">
        <x:f>IF($B91="","",IF(COUNTIF('共享事件'!$A$2:$A$301,$B91)&lt;&gt;1,"事件ID缺失或重复",INDEX('共享事件'!$A$2:$M$301,MATCH($B91,'共享事件'!$A$2:$A$301,0),7)))</x:f>
      </x:c>
      <x:c r="O91" s="17" t="n">
        <x:f>IF($A91="",0,IF(AND($C91='季度总览'!$D$3,$L91='季度总览'!$B$3,OR('季度总览'!$F$3="全部",$D91='季度总览'!$F$3,$D91="全国",$D91="全球")),1,0))</x:f>
        <x:v>0</x:v>
      </x:c>
      <x:c r="P91" s="17" t="str">
        <x:f>IF($A91="","",$K91&amp;"【"&amp;$N91&amp;"】"&amp;CHAR(10)&amp;$D91&amp;"："&amp;$G91)</x:f>
      </x:c>
    </x:row>
    <x:row r="92">
      <x:c r="K92" s="17" t="str">
        <x:f>IF($B92="","",IF(COUNTIF('共享事件'!$A$2:$A$301,$B92)&lt;&gt;1,"事件ID缺失或重复",INDEX('共享事件'!$A$2:$M$301,MATCH($B92,'共享事件'!$A$2:$A$301,0),2)))</x:f>
      </x:c>
      <x:c r="L92" s="18" t="str">
        <x:f>IF($B92="","",IF(COUNTIF('共享事件'!$A$2:$A$301,$B92)&lt;&gt;1,"事件ID缺失或重复",INDEX('共享事件'!$A$2:$M$301,MATCH($B92,'共享事件'!$A$2:$A$301,0),3)))</x:f>
      </x:c>
      <x:c r="M92" s="18" t="str">
        <x:f>IF($B92="","",IF(COUNTIF('共享事件'!$A$2:$A$301,$B92)&lt;&gt;1,"事件ID缺失或重复",INDEX('共享事件'!$A$2:$M$301,MATCH($B92,'共享事件'!$A$2:$A$301,0),4)))</x:f>
      </x:c>
      <x:c r="N92" s="17" t="str">
        <x:f>IF($B92="","",IF(COUNTIF('共享事件'!$A$2:$A$301,$B92)&lt;&gt;1,"事件ID缺失或重复",INDEX('共享事件'!$A$2:$M$301,MATCH($B92,'共享事件'!$A$2:$A$301,0),7)))</x:f>
      </x:c>
      <x:c r="O92" s="17" t="n">
        <x:f>IF($A92="",0,IF(AND($C92='季度总览'!$D$3,$L92='季度总览'!$B$3,OR('季度总览'!$F$3="全部",$D92='季度总览'!$F$3,$D92="全国",$D92="全球")),1,0))</x:f>
        <x:v>0</x:v>
      </x:c>
      <x:c r="P92" s="17" t="str">
        <x:f>IF($A92="","",$K92&amp;"【"&amp;$N92&amp;"】"&amp;CHAR(10)&amp;$D92&amp;"："&amp;$G92)</x:f>
      </x:c>
    </x:row>
    <x:row r="93">
      <x:c r="K93" s="17" t="str">
        <x:f>IF($B93="","",IF(COUNTIF('共享事件'!$A$2:$A$301,$B93)&lt;&gt;1,"事件ID缺失或重复",INDEX('共享事件'!$A$2:$M$301,MATCH($B93,'共享事件'!$A$2:$A$301,0),2)))</x:f>
      </x:c>
      <x:c r="L93" s="18" t="str">
        <x:f>IF($B93="","",IF(COUNTIF('共享事件'!$A$2:$A$301,$B93)&lt;&gt;1,"事件ID缺失或重复",INDEX('共享事件'!$A$2:$M$301,MATCH($B93,'共享事件'!$A$2:$A$301,0),3)))</x:f>
      </x:c>
      <x:c r="M93" s="18" t="str">
        <x:f>IF($B93="","",IF(COUNTIF('共享事件'!$A$2:$A$301,$B93)&lt;&gt;1,"事件ID缺失或重复",INDEX('共享事件'!$A$2:$M$301,MATCH($B93,'共享事件'!$A$2:$A$301,0),4)))</x:f>
      </x:c>
      <x:c r="N93" s="17" t="str">
        <x:f>IF($B93="","",IF(COUNTIF('共享事件'!$A$2:$A$301,$B93)&lt;&gt;1,"事件ID缺失或重复",INDEX('共享事件'!$A$2:$M$301,MATCH($B93,'共享事件'!$A$2:$A$301,0),7)))</x:f>
      </x:c>
      <x:c r="O93" s="17" t="n">
        <x:f>IF($A93="",0,IF(AND($C93='季度总览'!$D$3,$L93='季度总览'!$B$3,OR('季度总览'!$F$3="全部",$D93='季度总览'!$F$3,$D93="全国",$D93="全球")),1,0))</x:f>
        <x:v>0</x:v>
      </x:c>
      <x:c r="P93" s="17" t="str">
        <x:f>IF($A93="","",$K93&amp;"【"&amp;$N93&amp;"】"&amp;CHAR(10)&amp;$D93&amp;"："&amp;$G93)</x:f>
      </x:c>
    </x:row>
    <x:row r="94">
      <x:c r="K94" s="17" t="str">
        <x:f>IF($B94="","",IF(COUNTIF('共享事件'!$A$2:$A$301,$B94)&lt;&gt;1,"事件ID缺失或重复",INDEX('共享事件'!$A$2:$M$301,MATCH($B94,'共享事件'!$A$2:$A$301,0),2)))</x:f>
      </x:c>
      <x:c r="L94" s="18" t="str">
        <x:f>IF($B94="","",IF(COUNTIF('共享事件'!$A$2:$A$301,$B94)&lt;&gt;1,"事件ID缺失或重复",INDEX('共享事件'!$A$2:$M$301,MATCH($B94,'共享事件'!$A$2:$A$301,0),3)))</x:f>
      </x:c>
      <x:c r="M94" s="18" t="str">
        <x:f>IF($B94="","",IF(COUNTIF('共享事件'!$A$2:$A$301,$B94)&lt;&gt;1,"事件ID缺失或重复",INDEX('共享事件'!$A$2:$M$301,MATCH($B94,'共享事件'!$A$2:$A$301,0),4)))</x:f>
      </x:c>
      <x:c r="N94" s="17" t="str">
        <x:f>IF($B94="","",IF(COUNTIF('共享事件'!$A$2:$A$301,$B94)&lt;&gt;1,"事件ID缺失或重复",INDEX('共享事件'!$A$2:$M$301,MATCH($B94,'共享事件'!$A$2:$A$301,0),7)))</x:f>
      </x:c>
      <x:c r="O94" s="17" t="n">
        <x:f>IF($A94="",0,IF(AND($C94='季度总览'!$D$3,$L94='季度总览'!$B$3,OR('季度总览'!$F$3="全部",$D94='季度总览'!$F$3,$D94="全国",$D94="全球")),1,0))</x:f>
        <x:v>0</x:v>
      </x:c>
      <x:c r="P94" s="17" t="str">
        <x:f>IF($A94="","",$K94&amp;"【"&amp;$N94&amp;"】"&amp;CHAR(10)&amp;$D94&amp;"："&amp;$G94)</x:f>
      </x:c>
    </x:row>
    <x:row r="95">
      <x:c r="K95" s="17" t="str">
        <x:f>IF($B95="","",IF(COUNTIF('共享事件'!$A$2:$A$301,$B95)&lt;&gt;1,"事件ID缺失或重复",INDEX('共享事件'!$A$2:$M$301,MATCH($B95,'共享事件'!$A$2:$A$301,0),2)))</x:f>
      </x:c>
      <x:c r="L95" s="18" t="str">
        <x:f>IF($B95="","",IF(COUNTIF('共享事件'!$A$2:$A$301,$B95)&lt;&gt;1,"事件ID缺失或重复",INDEX('共享事件'!$A$2:$M$301,MATCH($B95,'共享事件'!$A$2:$A$301,0),3)))</x:f>
      </x:c>
      <x:c r="M95" s="18" t="str">
        <x:f>IF($B95="","",IF(COUNTIF('共享事件'!$A$2:$A$301,$B95)&lt;&gt;1,"事件ID缺失或重复",INDEX('共享事件'!$A$2:$M$301,MATCH($B95,'共享事件'!$A$2:$A$301,0),4)))</x:f>
      </x:c>
      <x:c r="N95" s="17" t="str">
        <x:f>IF($B95="","",IF(COUNTIF('共享事件'!$A$2:$A$301,$B95)&lt;&gt;1,"事件ID缺失或重复",INDEX('共享事件'!$A$2:$M$301,MATCH($B95,'共享事件'!$A$2:$A$301,0),7)))</x:f>
      </x:c>
      <x:c r="O95" s="17" t="n">
        <x:f>IF($A95="",0,IF(AND($C95='季度总览'!$D$3,$L95='季度总览'!$B$3,OR('季度总览'!$F$3="全部",$D95='季度总览'!$F$3,$D95="全国",$D95="全球")),1,0))</x:f>
        <x:v>0</x:v>
      </x:c>
      <x:c r="P95" s="17" t="str">
        <x:f>IF($A95="","",$K95&amp;"【"&amp;$N95&amp;"】"&amp;CHAR(10)&amp;$D95&amp;"："&amp;$G95)</x:f>
      </x:c>
    </x:row>
    <x:row r="96">
      <x:c r="K96" s="17" t="str">
        <x:f>IF($B96="","",IF(COUNTIF('共享事件'!$A$2:$A$301,$B96)&lt;&gt;1,"事件ID缺失或重复",INDEX('共享事件'!$A$2:$M$301,MATCH($B96,'共享事件'!$A$2:$A$301,0),2)))</x:f>
      </x:c>
      <x:c r="L96" s="18" t="str">
        <x:f>IF($B96="","",IF(COUNTIF('共享事件'!$A$2:$A$301,$B96)&lt;&gt;1,"事件ID缺失或重复",INDEX('共享事件'!$A$2:$M$301,MATCH($B96,'共享事件'!$A$2:$A$301,0),3)))</x:f>
      </x:c>
      <x:c r="M96" s="18" t="str">
        <x:f>IF($B96="","",IF(COUNTIF('共享事件'!$A$2:$A$301,$B96)&lt;&gt;1,"事件ID缺失或重复",INDEX('共享事件'!$A$2:$M$301,MATCH($B96,'共享事件'!$A$2:$A$301,0),4)))</x:f>
      </x:c>
      <x:c r="N96" s="17" t="str">
        <x:f>IF($B96="","",IF(COUNTIF('共享事件'!$A$2:$A$301,$B96)&lt;&gt;1,"事件ID缺失或重复",INDEX('共享事件'!$A$2:$M$301,MATCH($B96,'共享事件'!$A$2:$A$301,0),7)))</x:f>
      </x:c>
      <x:c r="O96" s="17" t="n">
        <x:f>IF($A96="",0,IF(AND($C96='季度总览'!$D$3,$L96='季度总览'!$B$3,OR('季度总览'!$F$3="全部",$D96='季度总览'!$F$3,$D96="全国",$D96="全球")),1,0))</x:f>
        <x:v>0</x:v>
      </x:c>
      <x:c r="P96" s="17" t="str">
        <x:f>IF($A96="","",$K96&amp;"【"&amp;$N96&amp;"】"&amp;CHAR(10)&amp;$D96&amp;"："&amp;$G96)</x:f>
      </x:c>
    </x:row>
    <x:row r="97">
      <x:c r="K97" s="17" t="str">
        <x:f>IF($B97="","",IF(COUNTIF('共享事件'!$A$2:$A$301,$B97)&lt;&gt;1,"事件ID缺失或重复",INDEX('共享事件'!$A$2:$M$301,MATCH($B97,'共享事件'!$A$2:$A$301,0),2)))</x:f>
      </x:c>
      <x:c r="L97" s="18" t="str">
        <x:f>IF($B97="","",IF(COUNTIF('共享事件'!$A$2:$A$301,$B97)&lt;&gt;1,"事件ID缺失或重复",INDEX('共享事件'!$A$2:$M$301,MATCH($B97,'共享事件'!$A$2:$A$301,0),3)))</x:f>
      </x:c>
      <x:c r="M97" s="18" t="str">
        <x:f>IF($B97="","",IF(COUNTIF('共享事件'!$A$2:$A$301,$B97)&lt;&gt;1,"事件ID缺失或重复",INDEX('共享事件'!$A$2:$M$301,MATCH($B97,'共享事件'!$A$2:$A$301,0),4)))</x:f>
      </x:c>
      <x:c r="N97" s="17" t="str">
        <x:f>IF($B97="","",IF(COUNTIF('共享事件'!$A$2:$A$301,$B97)&lt;&gt;1,"事件ID缺失或重复",INDEX('共享事件'!$A$2:$M$301,MATCH($B97,'共享事件'!$A$2:$A$301,0),7)))</x:f>
      </x:c>
      <x:c r="O97" s="17" t="n">
        <x:f>IF($A97="",0,IF(AND($C97='季度总览'!$D$3,$L97='季度总览'!$B$3,OR('季度总览'!$F$3="全部",$D97='季度总览'!$F$3,$D97="全国",$D97="全球")),1,0))</x:f>
        <x:v>0</x:v>
      </x:c>
      <x:c r="P97" s="17" t="str">
        <x:f>IF($A97="","",$K97&amp;"【"&amp;$N97&amp;"】"&amp;CHAR(10)&amp;$D97&amp;"："&amp;$G97)</x:f>
      </x:c>
    </x:row>
    <x:row r="98">
      <x:c r="K98" s="17" t="str">
        <x:f>IF($B98="","",IF(COUNTIF('共享事件'!$A$2:$A$301,$B98)&lt;&gt;1,"事件ID缺失或重复",INDEX('共享事件'!$A$2:$M$301,MATCH($B98,'共享事件'!$A$2:$A$301,0),2)))</x:f>
      </x:c>
      <x:c r="L98" s="18" t="str">
        <x:f>IF($B98="","",IF(COUNTIF('共享事件'!$A$2:$A$301,$B98)&lt;&gt;1,"事件ID缺失或重复",INDEX('共享事件'!$A$2:$M$301,MATCH($B98,'共享事件'!$A$2:$A$301,0),3)))</x:f>
      </x:c>
      <x:c r="M98" s="18" t="str">
        <x:f>IF($B98="","",IF(COUNTIF('共享事件'!$A$2:$A$301,$B98)&lt;&gt;1,"事件ID缺失或重复",INDEX('共享事件'!$A$2:$M$301,MATCH($B98,'共享事件'!$A$2:$A$301,0),4)))</x:f>
      </x:c>
      <x:c r="N98" s="17" t="str">
        <x:f>IF($B98="","",IF(COUNTIF('共享事件'!$A$2:$A$301,$B98)&lt;&gt;1,"事件ID缺失或重复",INDEX('共享事件'!$A$2:$M$301,MATCH($B98,'共享事件'!$A$2:$A$301,0),7)))</x:f>
      </x:c>
      <x:c r="O98" s="17" t="n">
        <x:f>IF($A98="",0,IF(AND($C98='季度总览'!$D$3,$L98='季度总览'!$B$3,OR('季度总览'!$F$3="全部",$D98='季度总览'!$F$3,$D98="全国",$D98="全球")),1,0))</x:f>
        <x:v>0</x:v>
      </x:c>
      <x:c r="P98" s="17" t="str">
        <x:f>IF($A98="","",$K98&amp;"【"&amp;$N98&amp;"】"&amp;CHAR(10)&amp;$D98&amp;"："&amp;$G98)</x:f>
      </x:c>
    </x:row>
    <x:row r="99">
      <x:c r="K99" s="17" t="str">
        <x:f>IF($B99="","",IF(COUNTIF('共享事件'!$A$2:$A$301,$B99)&lt;&gt;1,"事件ID缺失或重复",INDEX('共享事件'!$A$2:$M$301,MATCH($B99,'共享事件'!$A$2:$A$301,0),2)))</x:f>
      </x:c>
      <x:c r="L99" s="18" t="str">
        <x:f>IF($B99="","",IF(COUNTIF('共享事件'!$A$2:$A$301,$B99)&lt;&gt;1,"事件ID缺失或重复",INDEX('共享事件'!$A$2:$M$301,MATCH($B99,'共享事件'!$A$2:$A$301,0),3)))</x:f>
      </x:c>
      <x:c r="M99" s="18" t="str">
        <x:f>IF($B99="","",IF(COUNTIF('共享事件'!$A$2:$A$301,$B99)&lt;&gt;1,"事件ID缺失或重复",INDEX('共享事件'!$A$2:$M$301,MATCH($B99,'共享事件'!$A$2:$A$301,0),4)))</x:f>
      </x:c>
      <x:c r="N99" s="17" t="str">
        <x:f>IF($B99="","",IF(COUNTIF('共享事件'!$A$2:$A$301,$B99)&lt;&gt;1,"事件ID缺失或重复",INDEX('共享事件'!$A$2:$M$301,MATCH($B99,'共享事件'!$A$2:$A$301,0),7)))</x:f>
      </x:c>
      <x:c r="O99" s="17" t="n">
        <x:f>IF($A99="",0,IF(AND($C99='季度总览'!$D$3,$L99='季度总览'!$B$3,OR('季度总览'!$F$3="全部",$D99='季度总览'!$F$3,$D99="全国",$D99="全球")),1,0))</x:f>
        <x:v>0</x:v>
      </x:c>
      <x:c r="P99" s="17" t="str">
        <x:f>IF($A99="","",$K99&amp;"【"&amp;$N99&amp;"】"&amp;CHAR(10)&amp;$D99&amp;"："&amp;$G99)</x:f>
      </x:c>
    </x:row>
    <x:row r="100">
      <x:c r="K100" s="17" t="str">
        <x:f>IF($B100="","",IF(COUNTIF('共享事件'!$A$2:$A$301,$B100)&lt;&gt;1,"事件ID缺失或重复",INDEX('共享事件'!$A$2:$M$301,MATCH($B100,'共享事件'!$A$2:$A$301,0),2)))</x:f>
      </x:c>
      <x:c r="L100" s="18" t="str">
        <x:f>IF($B100="","",IF(COUNTIF('共享事件'!$A$2:$A$301,$B100)&lt;&gt;1,"事件ID缺失或重复",INDEX('共享事件'!$A$2:$M$301,MATCH($B100,'共享事件'!$A$2:$A$301,0),3)))</x:f>
      </x:c>
      <x:c r="M100" s="18" t="str">
        <x:f>IF($B100="","",IF(COUNTIF('共享事件'!$A$2:$A$301,$B100)&lt;&gt;1,"事件ID缺失或重复",INDEX('共享事件'!$A$2:$M$301,MATCH($B100,'共享事件'!$A$2:$A$301,0),4)))</x:f>
      </x:c>
      <x:c r="N100" s="17" t="str">
        <x:f>IF($B100="","",IF(COUNTIF('共享事件'!$A$2:$A$301,$B100)&lt;&gt;1,"事件ID缺失或重复",INDEX('共享事件'!$A$2:$M$301,MATCH($B100,'共享事件'!$A$2:$A$301,0),7)))</x:f>
      </x:c>
      <x:c r="O100" s="17" t="n">
        <x:f>IF($A100="",0,IF(AND($C100='季度总览'!$D$3,$L100='季度总览'!$B$3,OR('季度总览'!$F$3="全部",$D100='季度总览'!$F$3,$D100="全国",$D100="全球")),1,0))</x:f>
        <x:v>0</x:v>
      </x:c>
      <x:c r="P100" s="17" t="str">
        <x:f>IF($A100="","",$K100&amp;"【"&amp;$N100&amp;"】"&amp;CHAR(10)&amp;$D100&amp;"："&amp;$G100)</x:f>
      </x:c>
    </x:row>
    <x:row r="101">
      <x:c r="K101" s="17" t="str">
        <x:f>IF($B101="","",IF(COUNTIF('共享事件'!$A$2:$A$301,$B101)&lt;&gt;1,"事件ID缺失或重复",INDEX('共享事件'!$A$2:$M$301,MATCH($B101,'共享事件'!$A$2:$A$301,0),2)))</x:f>
      </x:c>
      <x:c r="L101" s="18" t="str">
        <x:f>IF($B101="","",IF(COUNTIF('共享事件'!$A$2:$A$301,$B101)&lt;&gt;1,"事件ID缺失或重复",INDEX('共享事件'!$A$2:$M$301,MATCH($B101,'共享事件'!$A$2:$A$301,0),3)))</x:f>
      </x:c>
      <x:c r="M101" s="18" t="str">
        <x:f>IF($B101="","",IF(COUNTIF('共享事件'!$A$2:$A$301,$B101)&lt;&gt;1,"事件ID缺失或重复",INDEX('共享事件'!$A$2:$M$301,MATCH($B101,'共享事件'!$A$2:$A$301,0),4)))</x:f>
      </x:c>
      <x:c r="N101" s="17" t="str">
        <x:f>IF($B101="","",IF(COUNTIF('共享事件'!$A$2:$A$301,$B101)&lt;&gt;1,"事件ID缺失或重复",INDEX('共享事件'!$A$2:$M$301,MATCH($B101,'共享事件'!$A$2:$A$301,0),7)))</x:f>
      </x:c>
      <x:c r="O101" s="17" t="n">
        <x:f>IF($A101="",0,IF(AND($C101='季度总览'!$D$3,$L101='季度总览'!$B$3,OR('季度总览'!$F$3="全部",$D101='季度总览'!$F$3,$D101="全国",$D101="全球")),1,0))</x:f>
        <x:v>0</x:v>
      </x:c>
      <x:c r="P101" s="17" t="str">
        <x:f>IF($A101="","",$K101&amp;"【"&amp;$N101&amp;"】"&amp;CHAR(10)&amp;$D101&amp;"："&amp;$G101)</x:f>
      </x:c>
    </x:row>
    <x:row r="102">
      <x:c r="K102" s="17" t="str">
        <x:f>IF($B102="","",IF(COUNTIF('共享事件'!$A$2:$A$301,$B102)&lt;&gt;1,"事件ID缺失或重复",INDEX('共享事件'!$A$2:$M$301,MATCH($B102,'共享事件'!$A$2:$A$301,0),2)))</x:f>
      </x:c>
      <x:c r="L102" s="18" t="str">
        <x:f>IF($B102="","",IF(COUNTIF('共享事件'!$A$2:$A$301,$B102)&lt;&gt;1,"事件ID缺失或重复",INDEX('共享事件'!$A$2:$M$301,MATCH($B102,'共享事件'!$A$2:$A$301,0),3)))</x:f>
      </x:c>
      <x:c r="M102" s="18" t="str">
        <x:f>IF($B102="","",IF(COUNTIF('共享事件'!$A$2:$A$301,$B102)&lt;&gt;1,"事件ID缺失或重复",INDEX('共享事件'!$A$2:$M$301,MATCH($B102,'共享事件'!$A$2:$A$301,0),4)))</x:f>
      </x:c>
      <x:c r="N102" s="17" t="str">
        <x:f>IF($B102="","",IF(COUNTIF('共享事件'!$A$2:$A$301,$B102)&lt;&gt;1,"事件ID缺失或重复",INDEX('共享事件'!$A$2:$M$301,MATCH($B102,'共享事件'!$A$2:$A$301,0),7)))</x:f>
      </x:c>
      <x:c r="O102" s="17" t="n">
        <x:f>IF($A102="",0,IF(AND($C102='季度总览'!$D$3,$L102='季度总览'!$B$3,OR('季度总览'!$F$3="全部",$D102='季度总览'!$F$3,$D102="全国",$D102="全球")),1,0))</x:f>
        <x:v>0</x:v>
      </x:c>
      <x:c r="P102" s="17" t="str">
        <x:f>IF($A102="","",$K102&amp;"【"&amp;$N102&amp;"】"&amp;CHAR(10)&amp;$D102&amp;"："&amp;$G102)</x:f>
      </x:c>
    </x:row>
    <x:row r="103">
      <x:c r="K103" s="17" t="str">
        <x:f>IF($B103="","",IF(COUNTIF('共享事件'!$A$2:$A$301,$B103)&lt;&gt;1,"事件ID缺失或重复",INDEX('共享事件'!$A$2:$M$301,MATCH($B103,'共享事件'!$A$2:$A$301,0),2)))</x:f>
      </x:c>
      <x:c r="L103" s="18" t="str">
        <x:f>IF($B103="","",IF(COUNTIF('共享事件'!$A$2:$A$301,$B103)&lt;&gt;1,"事件ID缺失或重复",INDEX('共享事件'!$A$2:$M$301,MATCH($B103,'共享事件'!$A$2:$A$301,0),3)))</x:f>
      </x:c>
      <x:c r="M103" s="18" t="str">
        <x:f>IF($B103="","",IF(COUNTIF('共享事件'!$A$2:$A$301,$B103)&lt;&gt;1,"事件ID缺失或重复",INDEX('共享事件'!$A$2:$M$301,MATCH($B103,'共享事件'!$A$2:$A$301,0),4)))</x:f>
      </x:c>
      <x:c r="N103" s="17" t="str">
        <x:f>IF($B103="","",IF(COUNTIF('共享事件'!$A$2:$A$301,$B103)&lt;&gt;1,"事件ID缺失或重复",INDEX('共享事件'!$A$2:$M$301,MATCH($B103,'共享事件'!$A$2:$A$301,0),7)))</x:f>
      </x:c>
      <x:c r="O103" s="17" t="n">
        <x:f>IF($A103="",0,IF(AND($C103='季度总览'!$D$3,$L103='季度总览'!$B$3,OR('季度总览'!$F$3="全部",$D103='季度总览'!$F$3,$D103="全国",$D103="全球")),1,0))</x:f>
        <x:v>0</x:v>
      </x:c>
      <x:c r="P103" s="17" t="str">
        <x:f>IF($A103="","",$K103&amp;"【"&amp;$N103&amp;"】"&amp;CHAR(10)&amp;$D103&amp;"："&amp;$G103)</x:f>
      </x:c>
    </x:row>
    <x:row r="104">
      <x:c r="K104" s="17" t="str">
        <x:f>IF($B104="","",IF(COUNTIF('共享事件'!$A$2:$A$301,$B104)&lt;&gt;1,"事件ID缺失或重复",INDEX('共享事件'!$A$2:$M$301,MATCH($B104,'共享事件'!$A$2:$A$301,0),2)))</x:f>
      </x:c>
      <x:c r="L104" s="18" t="str">
        <x:f>IF($B104="","",IF(COUNTIF('共享事件'!$A$2:$A$301,$B104)&lt;&gt;1,"事件ID缺失或重复",INDEX('共享事件'!$A$2:$M$301,MATCH($B104,'共享事件'!$A$2:$A$301,0),3)))</x:f>
      </x:c>
      <x:c r="M104" s="18" t="str">
        <x:f>IF($B104="","",IF(COUNTIF('共享事件'!$A$2:$A$301,$B104)&lt;&gt;1,"事件ID缺失或重复",INDEX('共享事件'!$A$2:$M$301,MATCH($B104,'共享事件'!$A$2:$A$301,0),4)))</x:f>
      </x:c>
      <x:c r="N104" s="17" t="str">
        <x:f>IF($B104="","",IF(COUNTIF('共享事件'!$A$2:$A$301,$B104)&lt;&gt;1,"事件ID缺失或重复",INDEX('共享事件'!$A$2:$M$301,MATCH($B104,'共享事件'!$A$2:$A$301,0),7)))</x:f>
      </x:c>
      <x:c r="O104" s="17" t="n">
        <x:f>IF($A104="",0,IF(AND($C104='季度总览'!$D$3,$L104='季度总览'!$B$3,OR('季度总览'!$F$3="全部",$D104='季度总览'!$F$3,$D104="全国",$D104="全球")),1,0))</x:f>
        <x:v>0</x:v>
      </x:c>
      <x:c r="P104" s="17" t="str">
        <x:f>IF($A104="","",$K104&amp;"【"&amp;$N104&amp;"】"&amp;CHAR(10)&amp;$D104&amp;"："&amp;$G104)</x:f>
      </x:c>
    </x:row>
    <x:row r="105">
      <x:c r="K105" s="17" t="str">
        <x:f>IF($B105="","",IF(COUNTIF('共享事件'!$A$2:$A$301,$B105)&lt;&gt;1,"事件ID缺失或重复",INDEX('共享事件'!$A$2:$M$301,MATCH($B105,'共享事件'!$A$2:$A$301,0),2)))</x:f>
      </x:c>
      <x:c r="L105" s="18" t="str">
        <x:f>IF($B105="","",IF(COUNTIF('共享事件'!$A$2:$A$301,$B105)&lt;&gt;1,"事件ID缺失或重复",INDEX('共享事件'!$A$2:$M$301,MATCH($B105,'共享事件'!$A$2:$A$301,0),3)))</x:f>
      </x:c>
      <x:c r="M105" s="18" t="str">
        <x:f>IF($B105="","",IF(COUNTIF('共享事件'!$A$2:$A$301,$B105)&lt;&gt;1,"事件ID缺失或重复",INDEX('共享事件'!$A$2:$M$301,MATCH($B105,'共享事件'!$A$2:$A$301,0),4)))</x:f>
      </x:c>
      <x:c r="N105" s="17" t="str">
        <x:f>IF($B105="","",IF(COUNTIF('共享事件'!$A$2:$A$301,$B105)&lt;&gt;1,"事件ID缺失或重复",INDEX('共享事件'!$A$2:$M$301,MATCH($B105,'共享事件'!$A$2:$A$301,0),7)))</x:f>
      </x:c>
      <x:c r="O105" s="17" t="n">
        <x:f>IF($A105="",0,IF(AND($C105='季度总览'!$D$3,$L105='季度总览'!$B$3,OR('季度总览'!$F$3="全部",$D105='季度总览'!$F$3,$D105="全国",$D105="全球")),1,0))</x:f>
        <x:v>0</x:v>
      </x:c>
      <x:c r="P105" s="17" t="str">
        <x:f>IF($A105="","",$K105&amp;"【"&amp;$N105&amp;"】"&amp;CHAR(10)&amp;$D105&amp;"："&amp;$G105)</x:f>
      </x:c>
    </x:row>
    <x:row r="106">
      <x:c r="K106" s="17" t="str">
        <x:f>IF($B106="","",IF(COUNTIF('共享事件'!$A$2:$A$301,$B106)&lt;&gt;1,"事件ID缺失或重复",INDEX('共享事件'!$A$2:$M$301,MATCH($B106,'共享事件'!$A$2:$A$301,0),2)))</x:f>
      </x:c>
      <x:c r="L106" s="18" t="str">
        <x:f>IF($B106="","",IF(COUNTIF('共享事件'!$A$2:$A$301,$B106)&lt;&gt;1,"事件ID缺失或重复",INDEX('共享事件'!$A$2:$M$301,MATCH($B106,'共享事件'!$A$2:$A$301,0),3)))</x:f>
      </x:c>
      <x:c r="M106" s="18" t="str">
        <x:f>IF($B106="","",IF(COUNTIF('共享事件'!$A$2:$A$301,$B106)&lt;&gt;1,"事件ID缺失或重复",INDEX('共享事件'!$A$2:$M$301,MATCH($B106,'共享事件'!$A$2:$A$301,0),4)))</x:f>
      </x:c>
      <x:c r="N106" s="17" t="str">
        <x:f>IF($B106="","",IF(COUNTIF('共享事件'!$A$2:$A$301,$B106)&lt;&gt;1,"事件ID缺失或重复",INDEX('共享事件'!$A$2:$M$301,MATCH($B106,'共享事件'!$A$2:$A$301,0),7)))</x:f>
      </x:c>
      <x:c r="O106" s="17" t="n">
        <x:f>IF($A106="",0,IF(AND($C106='季度总览'!$D$3,$L106='季度总览'!$B$3,OR('季度总览'!$F$3="全部",$D106='季度总览'!$F$3,$D106="全国",$D106="全球")),1,0))</x:f>
        <x:v>0</x:v>
      </x:c>
      <x:c r="P106" s="17" t="str">
        <x:f>IF($A106="","",$K106&amp;"【"&amp;$N106&amp;"】"&amp;CHAR(10)&amp;$D106&amp;"："&amp;$G106)</x:f>
      </x:c>
    </x:row>
    <x:row r="107">
      <x:c r="K107" s="17" t="str">
        <x:f>IF($B107="","",IF(COUNTIF('共享事件'!$A$2:$A$301,$B107)&lt;&gt;1,"事件ID缺失或重复",INDEX('共享事件'!$A$2:$M$301,MATCH($B107,'共享事件'!$A$2:$A$301,0),2)))</x:f>
      </x:c>
      <x:c r="L107" s="18" t="str">
        <x:f>IF($B107="","",IF(COUNTIF('共享事件'!$A$2:$A$301,$B107)&lt;&gt;1,"事件ID缺失或重复",INDEX('共享事件'!$A$2:$M$301,MATCH($B107,'共享事件'!$A$2:$A$301,0),3)))</x:f>
      </x:c>
      <x:c r="M107" s="18" t="str">
        <x:f>IF($B107="","",IF(COUNTIF('共享事件'!$A$2:$A$301,$B107)&lt;&gt;1,"事件ID缺失或重复",INDEX('共享事件'!$A$2:$M$301,MATCH($B107,'共享事件'!$A$2:$A$301,0),4)))</x:f>
      </x:c>
      <x:c r="N107" s="17" t="str">
        <x:f>IF($B107="","",IF(COUNTIF('共享事件'!$A$2:$A$301,$B107)&lt;&gt;1,"事件ID缺失或重复",INDEX('共享事件'!$A$2:$M$301,MATCH($B107,'共享事件'!$A$2:$A$301,0),7)))</x:f>
      </x:c>
      <x:c r="O107" s="17" t="n">
        <x:f>IF($A107="",0,IF(AND($C107='季度总览'!$D$3,$L107='季度总览'!$B$3,OR('季度总览'!$F$3="全部",$D107='季度总览'!$F$3,$D107="全国",$D107="全球")),1,0))</x:f>
        <x:v>0</x:v>
      </x:c>
      <x:c r="P107" s="17" t="str">
        <x:f>IF($A107="","",$K107&amp;"【"&amp;$N107&amp;"】"&amp;CHAR(10)&amp;$D107&amp;"："&amp;$G107)</x:f>
      </x:c>
    </x:row>
    <x:row r="108">
      <x:c r="K108" s="17" t="str">
        <x:f>IF($B108="","",IF(COUNTIF('共享事件'!$A$2:$A$301,$B108)&lt;&gt;1,"事件ID缺失或重复",INDEX('共享事件'!$A$2:$M$301,MATCH($B108,'共享事件'!$A$2:$A$301,0),2)))</x:f>
      </x:c>
      <x:c r="L108" s="18" t="str">
        <x:f>IF($B108="","",IF(COUNTIF('共享事件'!$A$2:$A$301,$B108)&lt;&gt;1,"事件ID缺失或重复",INDEX('共享事件'!$A$2:$M$301,MATCH($B108,'共享事件'!$A$2:$A$301,0),3)))</x:f>
      </x:c>
      <x:c r="M108" s="18" t="str">
        <x:f>IF($B108="","",IF(COUNTIF('共享事件'!$A$2:$A$301,$B108)&lt;&gt;1,"事件ID缺失或重复",INDEX('共享事件'!$A$2:$M$301,MATCH($B108,'共享事件'!$A$2:$A$301,0),4)))</x:f>
      </x:c>
      <x:c r="N108" s="17" t="str">
        <x:f>IF($B108="","",IF(COUNTIF('共享事件'!$A$2:$A$301,$B108)&lt;&gt;1,"事件ID缺失或重复",INDEX('共享事件'!$A$2:$M$301,MATCH($B108,'共享事件'!$A$2:$A$301,0),7)))</x:f>
      </x:c>
      <x:c r="O108" s="17" t="n">
        <x:f>IF($A108="",0,IF(AND($C108='季度总览'!$D$3,$L108='季度总览'!$B$3,OR('季度总览'!$F$3="全部",$D108='季度总览'!$F$3,$D108="全国",$D108="全球")),1,0))</x:f>
        <x:v>0</x:v>
      </x:c>
      <x:c r="P108" s="17" t="str">
        <x:f>IF($A108="","",$K108&amp;"【"&amp;$N108&amp;"】"&amp;CHAR(10)&amp;$D108&amp;"："&amp;$G108)</x:f>
      </x:c>
    </x:row>
    <x:row r="109">
      <x:c r="K109" s="17" t="str">
        <x:f>IF($B109="","",IF(COUNTIF('共享事件'!$A$2:$A$301,$B109)&lt;&gt;1,"事件ID缺失或重复",INDEX('共享事件'!$A$2:$M$301,MATCH($B109,'共享事件'!$A$2:$A$301,0),2)))</x:f>
      </x:c>
      <x:c r="L109" s="18" t="str">
        <x:f>IF($B109="","",IF(COUNTIF('共享事件'!$A$2:$A$301,$B109)&lt;&gt;1,"事件ID缺失或重复",INDEX('共享事件'!$A$2:$M$301,MATCH($B109,'共享事件'!$A$2:$A$301,0),3)))</x:f>
      </x:c>
      <x:c r="M109" s="18" t="str">
        <x:f>IF($B109="","",IF(COUNTIF('共享事件'!$A$2:$A$301,$B109)&lt;&gt;1,"事件ID缺失或重复",INDEX('共享事件'!$A$2:$M$301,MATCH($B109,'共享事件'!$A$2:$A$301,0),4)))</x:f>
      </x:c>
      <x:c r="N109" s="17" t="str">
        <x:f>IF($B109="","",IF(COUNTIF('共享事件'!$A$2:$A$301,$B109)&lt;&gt;1,"事件ID缺失或重复",INDEX('共享事件'!$A$2:$M$301,MATCH($B109,'共享事件'!$A$2:$A$301,0),7)))</x:f>
      </x:c>
      <x:c r="O109" s="17" t="n">
        <x:f>IF($A109="",0,IF(AND($C109='季度总览'!$D$3,$L109='季度总览'!$B$3,OR('季度总览'!$F$3="全部",$D109='季度总览'!$F$3,$D109="全国",$D109="全球")),1,0))</x:f>
        <x:v>0</x:v>
      </x:c>
      <x:c r="P109" s="17" t="str">
        <x:f>IF($A109="","",$K109&amp;"【"&amp;$N109&amp;"】"&amp;CHAR(10)&amp;$D109&amp;"："&amp;$G109)</x:f>
      </x:c>
    </x:row>
    <x:row r="110">
      <x:c r="K110" s="17" t="str">
        <x:f>IF($B110="","",IF(COUNTIF('共享事件'!$A$2:$A$301,$B110)&lt;&gt;1,"事件ID缺失或重复",INDEX('共享事件'!$A$2:$M$301,MATCH($B110,'共享事件'!$A$2:$A$301,0),2)))</x:f>
      </x:c>
      <x:c r="L110" s="18" t="str">
        <x:f>IF($B110="","",IF(COUNTIF('共享事件'!$A$2:$A$301,$B110)&lt;&gt;1,"事件ID缺失或重复",INDEX('共享事件'!$A$2:$M$301,MATCH($B110,'共享事件'!$A$2:$A$301,0),3)))</x:f>
      </x:c>
      <x:c r="M110" s="18" t="str">
        <x:f>IF($B110="","",IF(COUNTIF('共享事件'!$A$2:$A$301,$B110)&lt;&gt;1,"事件ID缺失或重复",INDEX('共享事件'!$A$2:$M$301,MATCH($B110,'共享事件'!$A$2:$A$301,0),4)))</x:f>
      </x:c>
      <x:c r="N110" s="17" t="str">
        <x:f>IF($B110="","",IF(COUNTIF('共享事件'!$A$2:$A$301,$B110)&lt;&gt;1,"事件ID缺失或重复",INDEX('共享事件'!$A$2:$M$301,MATCH($B110,'共享事件'!$A$2:$A$301,0),7)))</x:f>
      </x:c>
      <x:c r="O110" s="17" t="n">
        <x:f>IF($A110="",0,IF(AND($C110='季度总览'!$D$3,$L110='季度总览'!$B$3,OR('季度总览'!$F$3="全部",$D110='季度总览'!$F$3,$D110="全国",$D110="全球")),1,0))</x:f>
        <x:v>0</x:v>
      </x:c>
      <x:c r="P110" s="17" t="str">
        <x:f>IF($A110="","",$K110&amp;"【"&amp;$N110&amp;"】"&amp;CHAR(10)&amp;$D110&amp;"："&amp;$G110)</x:f>
      </x:c>
    </x:row>
    <x:row r="111">
      <x:c r="K111" s="17" t="str">
        <x:f>IF($B111="","",IF(COUNTIF('共享事件'!$A$2:$A$301,$B111)&lt;&gt;1,"事件ID缺失或重复",INDEX('共享事件'!$A$2:$M$301,MATCH($B111,'共享事件'!$A$2:$A$301,0),2)))</x:f>
      </x:c>
      <x:c r="L111" s="18" t="str">
        <x:f>IF($B111="","",IF(COUNTIF('共享事件'!$A$2:$A$301,$B111)&lt;&gt;1,"事件ID缺失或重复",INDEX('共享事件'!$A$2:$M$301,MATCH($B111,'共享事件'!$A$2:$A$301,0),3)))</x:f>
      </x:c>
      <x:c r="M111" s="18" t="str">
        <x:f>IF($B111="","",IF(COUNTIF('共享事件'!$A$2:$A$301,$B111)&lt;&gt;1,"事件ID缺失或重复",INDEX('共享事件'!$A$2:$M$301,MATCH($B111,'共享事件'!$A$2:$A$301,0),4)))</x:f>
      </x:c>
      <x:c r="N111" s="17" t="str">
        <x:f>IF($B111="","",IF(COUNTIF('共享事件'!$A$2:$A$301,$B111)&lt;&gt;1,"事件ID缺失或重复",INDEX('共享事件'!$A$2:$M$301,MATCH($B111,'共享事件'!$A$2:$A$301,0),7)))</x:f>
      </x:c>
      <x:c r="O111" s="17" t="n">
        <x:f>IF($A111="",0,IF(AND($C111='季度总览'!$D$3,$L111='季度总览'!$B$3,OR('季度总览'!$F$3="全部",$D111='季度总览'!$F$3,$D111="全国",$D111="全球")),1,0))</x:f>
        <x:v>0</x:v>
      </x:c>
      <x:c r="P111" s="17" t="str">
        <x:f>IF($A111="","",$K111&amp;"【"&amp;$N111&amp;"】"&amp;CHAR(10)&amp;$D111&amp;"："&amp;$G111)</x:f>
      </x:c>
    </x:row>
    <x:row r="112">
      <x:c r="K112" s="17" t="str">
        <x:f>IF($B112="","",IF(COUNTIF('共享事件'!$A$2:$A$301,$B112)&lt;&gt;1,"事件ID缺失或重复",INDEX('共享事件'!$A$2:$M$301,MATCH($B112,'共享事件'!$A$2:$A$301,0),2)))</x:f>
      </x:c>
      <x:c r="L112" s="18" t="str">
        <x:f>IF($B112="","",IF(COUNTIF('共享事件'!$A$2:$A$301,$B112)&lt;&gt;1,"事件ID缺失或重复",INDEX('共享事件'!$A$2:$M$301,MATCH($B112,'共享事件'!$A$2:$A$301,0),3)))</x:f>
      </x:c>
      <x:c r="M112" s="18" t="str">
        <x:f>IF($B112="","",IF(COUNTIF('共享事件'!$A$2:$A$301,$B112)&lt;&gt;1,"事件ID缺失或重复",INDEX('共享事件'!$A$2:$M$301,MATCH($B112,'共享事件'!$A$2:$A$301,0),4)))</x:f>
      </x:c>
      <x:c r="N112" s="17" t="str">
        <x:f>IF($B112="","",IF(COUNTIF('共享事件'!$A$2:$A$301,$B112)&lt;&gt;1,"事件ID缺失或重复",INDEX('共享事件'!$A$2:$M$301,MATCH($B112,'共享事件'!$A$2:$A$301,0),7)))</x:f>
      </x:c>
      <x:c r="O112" s="17" t="n">
        <x:f>IF($A112="",0,IF(AND($C112='季度总览'!$D$3,$L112='季度总览'!$B$3,OR('季度总览'!$F$3="全部",$D112='季度总览'!$F$3,$D112="全国",$D112="全球")),1,0))</x:f>
        <x:v>0</x:v>
      </x:c>
      <x:c r="P112" s="17" t="str">
        <x:f>IF($A112="","",$K112&amp;"【"&amp;$N112&amp;"】"&amp;CHAR(10)&amp;$D112&amp;"："&amp;$G112)</x:f>
      </x:c>
    </x:row>
    <x:row r="113">
      <x:c r="K113" s="17" t="str">
        <x:f>IF($B113="","",IF(COUNTIF('共享事件'!$A$2:$A$301,$B113)&lt;&gt;1,"事件ID缺失或重复",INDEX('共享事件'!$A$2:$M$301,MATCH($B113,'共享事件'!$A$2:$A$301,0),2)))</x:f>
      </x:c>
      <x:c r="L113" s="18" t="str">
        <x:f>IF($B113="","",IF(COUNTIF('共享事件'!$A$2:$A$301,$B113)&lt;&gt;1,"事件ID缺失或重复",INDEX('共享事件'!$A$2:$M$301,MATCH($B113,'共享事件'!$A$2:$A$301,0),3)))</x:f>
      </x:c>
      <x:c r="M113" s="18" t="str">
        <x:f>IF($B113="","",IF(COUNTIF('共享事件'!$A$2:$A$301,$B113)&lt;&gt;1,"事件ID缺失或重复",INDEX('共享事件'!$A$2:$M$301,MATCH($B113,'共享事件'!$A$2:$A$301,0),4)))</x:f>
      </x:c>
      <x:c r="N113" s="17" t="str">
        <x:f>IF($B113="","",IF(COUNTIF('共享事件'!$A$2:$A$301,$B113)&lt;&gt;1,"事件ID缺失或重复",INDEX('共享事件'!$A$2:$M$301,MATCH($B113,'共享事件'!$A$2:$A$301,0),7)))</x:f>
      </x:c>
      <x:c r="O113" s="17" t="n">
        <x:f>IF($A113="",0,IF(AND($C113='季度总览'!$D$3,$L113='季度总览'!$B$3,OR('季度总览'!$F$3="全部",$D113='季度总览'!$F$3,$D113="全国",$D113="全球")),1,0))</x:f>
        <x:v>0</x:v>
      </x:c>
      <x:c r="P113" s="17" t="str">
        <x:f>IF($A113="","",$K113&amp;"【"&amp;$N113&amp;"】"&amp;CHAR(10)&amp;$D113&amp;"："&amp;$G113)</x:f>
      </x:c>
    </x:row>
    <x:row r="114">
      <x:c r="K114" s="17" t="str">
        <x:f>IF($B114="","",IF(COUNTIF('共享事件'!$A$2:$A$301,$B114)&lt;&gt;1,"事件ID缺失或重复",INDEX('共享事件'!$A$2:$M$301,MATCH($B114,'共享事件'!$A$2:$A$301,0),2)))</x:f>
      </x:c>
      <x:c r="L114" s="18" t="str">
        <x:f>IF($B114="","",IF(COUNTIF('共享事件'!$A$2:$A$301,$B114)&lt;&gt;1,"事件ID缺失或重复",INDEX('共享事件'!$A$2:$M$301,MATCH($B114,'共享事件'!$A$2:$A$301,0),3)))</x:f>
      </x:c>
      <x:c r="M114" s="18" t="str">
        <x:f>IF($B114="","",IF(COUNTIF('共享事件'!$A$2:$A$301,$B114)&lt;&gt;1,"事件ID缺失或重复",INDEX('共享事件'!$A$2:$M$301,MATCH($B114,'共享事件'!$A$2:$A$301,0),4)))</x:f>
      </x:c>
      <x:c r="N114" s="17" t="str">
        <x:f>IF($B114="","",IF(COUNTIF('共享事件'!$A$2:$A$301,$B114)&lt;&gt;1,"事件ID缺失或重复",INDEX('共享事件'!$A$2:$M$301,MATCH($B114,'共享事件'!$A$2:$A$301,0),7)))</x:f>
      </x:c>
      <x:c r="O114" s="17" t="n">
        <x:f>IF($A114="",0,IF(AND($C114='季度总览'!$D$3,$L114='季度总览'!$B$3,OR('季度总览'!$F$3="全部",$D114='季度总览'!$F$3,$D114="全国",$D114="全球")),1,0))</x:f>
        <x:v>0</x:v>
      </x:c>
      <x:c r="P114" s="17" t="str">
        <x:f>IF($A114="","",$K114&amp;"【"&amp;$N114&amp;"】"&amp;CHAR(10)&amp;$D114&amp;"："&amp;$G114)</x:f>
      </x:c>
    </x:row>
    <x:row r="115">
      <x:c r="K115" s="17" t="str">
        <x:f>IF($B115="","",IF(COUNTIF('共享事件'!$A$2:$A$301,$B115)&lt;&gt;1,"事件ID缺失或重复",INDEX('共享事件'!$A$2:$M$301,MATCH($B115,'共享事件'!$A$2:$A$301,0),2)))</x:f>
      </x:c>
      <x:c r="L115" s="18" t="str">
        <x:f>IF($B115="","",IF(COUNTIF('共享事件'!$A$2:$A$301,$B115)&lt;&gt;1,"事件ID缺失或重复",INDEX('共享事件'!$A$2:$M$301,MATCH($B115,'共享事件'!$A$2:$A$301,0),3)))</x:f>
      </x:c>
      <x:c r="M115" s="18" t="str">
        <x:f>IF($B115="","",IF(COUNTIF('共享事件'!$A$2:$A$301,$B115)&lt;&gt;1,"事件ID缺失或重复",INDEX('共享事件'!$A$2:$M$301,MATCH($B115,'共享事件'!$A$2:$A$301,0),4)))</x:f>
      </x:c>
      <x:c r="N115" s="17" t="str">
        <x:f>IF($B115="","",IF(COUNTIF('共享事件'!$A$2:$A$301,$B115)&lt;&gt;1,"事件ID缺失或重复",INDEX('共享事件'!$A$2:$M$301,MATCH($B115,'共享事件'!$A$2:$A$301,0),7)))</x:f>
      </x:c>
      <x:c r="O115" s="17" t="n">
        <x:f>IF($A115="",0,IF(AND($C115='季度总览'!$D$3,$L115='季度总览'!$B$3,OR('季度总览'!$F$3="全部",$D115='季度总览'!$F$3,$D115="全国",$D115="全球")),1,0))</x:f>
        <x:v>0</x:v>
      </x:c>
      <x:c r="P115" s="17" t="str">
        <x:f>IF($A115="","",$K115&amp;"【"&amp;$N115&amp;"】"&amp;CHAR(10)&amp;$D115&amp;"："&amp;$G115)</x:f>
      </x:c>
    </x:row>
    <x:row r="116">
      <x:c r="K116" s="17" t="str">
        <x:f>IF($B116="","",IF(COUNTIF('共享事件'!$A$2:$A$301,$B116)&lt;&gt;1,"事件ID缺失或重复",INDEX('共享事件'!$A$2:$M$301,MATCH($B116,'共享事件'!$A$2:$A$301,0),2)))</x:f>
      </x:c>
      <x:c r="L116" s="18" t="str">
        <x:f>IF($B116="","",IF(COUNTIF('共享事件'!$A$2:$A$301,$B116)&lt;&gt;1,"事件ID缺失或重复",INDEX('共享事件'!$A$2:$M$301,MATCH($B116,'共享事件'!$A$2:$A$301,0),3)))</x:f>
      </x:c>
      <x:c r="M116" s="18" t="str">
        <x:f>IF($B116="","",IF(COUNTIF('共享事件'!$A$2:$A$301,$B116)&lt;&gt;1,"事件ID缺失或重复",INDEX('共享事件'!$A$2:$M$301,MATCH($B116,'共享事件'!$A$2:$A$301,0),4)))</x:f>
      </x:c>
      <x:c r="N116" s="17" t="str">
        <x:f>IF($B116="","",IF(COUNTIF('共享事件'!$A$2:$A$301,$B116)&lt;&gt;1,"事件ID缺失或重复",INDEX('共享事件'!$A$2:$M$301,MATCH($B116,'共享事件'!$A$2:$A$301,0),7)))</x:f>
      </x:c>
      <x:c r="O116" s="17" t="n">
        <x:f>IF($A116="",0,IF(AND($C116='季度总览'!$D$3,$L116='季度总览'!$B$3,OR('季度总览'!$F$3="全部",$D116='季度总览'!$F$3,$D116="全国",$D116="全球")),1,0))</x:f>
        <x:v>0</x:v>
      </x:c>
      <x:c r="P116" s="17" t="str">
        <x:f>IF($A116="","",$K116&amp;"【"&amp;$N116&amp;"】"&amp;CHAR(10)&amp;$D116&amp;"："&amp;$G116)</x:f>
      </x:c>
    </x:row>
    <x:row r="117">
      <x:c r="K117" s="17" t="str">
        <x:f>IF($B117="","",IF(COUNTIF('共享事件'!$A$2:$A$301,$B117)&lt;&gt;1,"事件ID缺失或重复",INDEX('共享事件'!$A$2:$M$301,MATCH($B117,'共享事件'!$A$2:$A$301,0),2)))</x:f>
      </x:c>
      <x:c r="L117" s="18" t="str">
        <x:f>IF($B117="","",IF(COUNTIF('共享事件'!$A$2:$A$301,$B117)&lt;&gt;1,"事件ID缺失或重复",INDEX('共享事件'!$A$2:$M$301,MATCH($B117,'共享事件'!$A$2:$A$301,0),3)))</x:f>
      </x:c>
      <x:c r="M117" s="18" t="str">
        <x:f>IF($B117="","",IF(COUNTIF('共享事件'!$A$2:$A$301,$B117)&lt;&gt;1,"事件ID缺失或重复",INDEX('共享事件'!$A$2:$M$301,MATCH($B117,'共享事件'!$A$2:$A$301,0),4)))</x:f>
      </x:c>
      <x:c r="N117" s="17" t="str">
        <x:f>IF($B117="","",IF(COUNTIF('共享事件'!$A$2:$A$301,$B117)&lt;&gt;1,"事件ID缺失或重复",INDEX('共享事件'!$A$2:$M$301,MATCH($B117,'共享事件'!$A$2:$A$301,0),7)))</x:f>
      </x:c>
      <x:c r="O117" s="17" t="n">
        <x:f>IF($A117="",0,IF(AND($C117='季度总览'!$D$3,$L117='季度总览'!$B$3,OR('季度总览'!$F$3="全部",$D117='季度总览'!$F$3,$D117="全国",$D117="全球")),1,0))</x:f>
        <x:v>0</x:v>
      </x:c>
      <x:c r="P117" s="17" t="str">
        <x:f>IF($A117="","",$K117&amp;"【"&amp;$N117&amp;"】"&amp;CHAR(10)&amp;$D117&amp;"："&amp;$G117)</x:f>
      </x:c>
    </x:row>
    <x:row r="118">
      <x:c r="K118" s="17" t="str">
        <x:f>IF($B118="","",IF(COUNTIF('共享事件'!$A$2:$A$301,$B118)&lt;&gt;1,"事件ID缺失或重复",INDEX('共享事件'!$A$2:$M$301,MATCH($B118,'共享事件'!$A$2:$A$301,0),2)))</x:f>
      </x:c>
      <x:c r="L118" s="18" t="str">
        <x:f>IF($B118="","",IF(COUNTIF('共享事件'!$A$2:$A$301,$B118)&lt;&gt;1,"事件ID缺失或重复",INDEX('共享事件'!$A$2:$M$301,MATCH($B118,'共享事件'!$A$2:$A$301,0),3)))</x:f>
      </x:c>
      <x:c r="M118" s="18" t="str">
        <x:f>IF($B118="","",IF(COUNTIF('共享事件'!$A$2:$A$301,$B118)&lt;&gt;1,"事件ID缺失或重复",INDEX('共享事件'!$A$2:$M$301,MATCH($B118,'共享事件'!$A$2:$A$301,0),4)))</x:f>
      </x:c>
      <x:c r="N118" s="17" t="str">
        <x:f>IF($B118="","",IF(COUNTIF('共享事件'!$A$2:$A$301,$B118)&lt;&gt;1,"事件ID缺失或重复",INDEX('共享事件'!$A$2:$M$301,MATCH($B118,'共享事件'!$A$2:$A$301,0),7)))</x:f>
      </x:c>
      <x:c r="O118" s="17" t="n">
        <x:f>IF($A118="",0,IF(AND($C118='季度总览'!$D$3,$L118='季度总览'!$B$3,OR('季度总览'!$F$3="全部",$D118='季度总览'!$F$3,$D118="全国",$D118="全球")),1,0))</x:f>
        <x:v>0</x:v>
      </x:c>
      <x:c r="P118" s="17" t="str">
        <x:f>IF($A118="","",$K118&amp;"【"&amp;$N118&amp;"】"&amp;CHAR(10)&amp;$D118&amp;"："&amp;$G118)</x:f>
      </x:c>
    </x:row>
    <x:row r="119">
      <x:c r="K119" s="17" t="str">
        <x:f>IF($B119="","",IF(COUNTIF('共享事件'!$A$2:$A$301,$B119)&lt;&gt;1,"事件ID缺失或重复",INDEX('共享事件'!$A$2:$M$301,MATCH($B119,'共享事件'!$A$2:$A$301,0),2)))</x:f>
      </x:c>
      <x:c r="L119" s="18" t="str">
        <x:f>IF($B119="","",IF(COUNTIF('共享事件'!$A$2:$A$301,$B119)&lt;&gt;1,"事件ID缺失或重复",INDEX('共享事件'!$A$2:$M$301,MATCH($B119,'共享事件'!$A$2:$A$301,0),3)))</x:f>
      </x:c>
      <x:c r="M119" s="18" t="str">
        <x:f>IF($B119="","",IF(COUNTIF('共享事件'!$A$2:$A$301,$B119)&lt;&gt;1,"事件ID缺失或重复",INDEX('共享事件'!$A$2:$M$301,MATCH($B119,'共享事件'!$A$2:$A$301,0),4)))</x:f>
      </x:c>
      <x:c r="N119" s="17" t="str">
        <x:f>IF($B119="","",IF(COUNTIF('共享事件'!$A$2:$A$301,$B119)&lt;&gt;1,"事件ID缺失或重复",INDEX('共享事件'!$A$2:$M$301,MATCH($B119,'共享事件'!$A$2:$A$301,0),7)))</x:f>
      </x:c>
      <x:c r="O119" s="17" t="n">
        <x:f>IF($A119="",0,IF(AND($C119='季度总览'!$D$3,$L119='季度总览'!$B$3,OR('季度总览'!$F$3="全部",$D119='季度总览'!$F$3,$D119="全国",$D119="全球")),1,0))</x:f>
        <x:v>0</x:v>
      </x:c>
      <x:c r="P119" s="17" t="str">
        <x:f>IF($A119="","",$K119&amp;"【"&amp;$N119&amp;"】"&amp;CHAR(10)&amp;$D119&amp;"："&amp;$G119)</x:f>
      </x:c>
    </x:row>
    <x:row r="120">
      <x:c r="K120" s="17" t="str">
        <x:f>IF($B120="","",IF(COUNTIF('共享事件'!$A$2:$A$301,$B120)&lt;&gt;1,"事件ID缺失或重复",INDEX('共享事件'!$A$2:$M$301,MATCH($B120,'共享事件'!$A$2:$A$301,0),2)))</x:f>
      </x:c>
      <x:c r="L120" s="18" t="str">
        <x:f>IF($B120="","",IF(COUNTIF('共享事件'!$A$2:$A$301,$B120)&lt;&gt;1,"事件ID缺失或重复",INDEX('共享事件'!$A$2:$M$301,MATCH($B120,'共享事件'!$A$2:$A$301,0),3)))</x:f>
      </x:c>
      <x:c r="M120" s="18" t="str">
        <x:f>IF($B120="","",IF(COUNTIF('共享事件'!$A$2:$A$301,$B120)&lt;&gt;1,"事件ID缺失或重复",INDEX('共享事件'!$A$2:$M$301,MATCH($B120,'共享事件'!$A$2:$A$301,0),4)))</x:f>
      </x:c>
      <x:c r="N120" s="17" t="str">
        <x:f>IF($B120="","",IF(COUNTIF('共享事件'!$A$2:$A$301,$B120)&lt;&gt;1,"事件ID缺失或重复",INDEX('共享事件'!$A$2:$M$301,MATCH($B120,'共享事件'!$A$2:$A$301,0),7)))</x:f>
      </x:c>
      <x:c r="O120" s="17" t="n">
        <x:f>IF($A120="",0,IF(AND($C120='季度总览'!$D$3,$L120='季度总览'!$B$3,OR('季度总览'!$F$3="全部",$D120='季度总览'!$F$3,$D120="全国",$D120="全球")),1,0))</x:f>
        <x:v>0</x:v>
      </x:c>
      <x:c r="P120" s="17" t="str">
        <x:f>IF($A120="","",$K120&amp;"【"&amp;$N120&amp;"】"&amp;CHAR(10)&amp;$D120&amp;"："&amp;$G120)</x:f>
      </x:c>
    </x:row>
    <x:row r="121">
      <x:c r="K121" s="17" t="str">
        <x:f>IF($B121="","",IF(COUNTIF('共享事件'!$A$2:$A$301,$B121)&lt;&gt;1,"事件ID缺失或重复",INDEX('共享事件'!$A$2:$M$301,MATCH($B121,'共享事件'!$A$2:$A$301,0),2)))</x:f>
      </x:c>
      <x:c r="L121" s="18" t="str">
        <x:f>IF($B121="","",IF(COUNTIF('共享事件'!$A$2:$A$301,$B121)&lt;&gt;1,"事件ID缺失或重复",INDEX('共享事件'!$A$2:$M$301,MATCH($B121,'共享事件'!$A$2:$A$301,0),3)))</x:f>
      </x:c>
      <x:c r="M121" s="18" t="str">
        <x:f>IF($B121="","",IF(COUNTIF('共享事件'!$A$2:$A$301,$B121)&lt;&gt;1,"事件ID缺失或重复",INDEX('共享事件'!$A$2:$M$301,MATCH($B121,'共享事件'!$A$2:$A$301,0),4)))</x:f>
      </x:c>
      <x:c r="N121" s="17" t="str">
        <x:f>IF($B121="","",IF(COUNTIF('共享事件'!$A$2:$A$301,$B121)&lt;&gt;1,"事件ID缺失或重复",INDEX('共享事件'!$A$2:$M$301,MATCH($B121,'共享事件'!$A$2:$A$301,0),7)))</x:f>
      </x:c>
      <x:c r="O121" s="17" t="n">
        <x:f>IF($A121="",0,IF(AND($C121='季度总览'!$D$3,$L121='季度总览'!$B$3,OR('季度总览'!$F$3="全部",$D121='季度总览'!$F$3,$D121="全国",$D121="全球")),1,0))</x:f>
        <x:v>0</x:v>
      </x:c>
      <x:c r="P121" s="17" t="str">
        <x:f>IF($A121="","",$K121&amp;"【"&amp;$N121&amp;"】"&amp;CHAR(10)&amp;$D121&amp;"："&amp;$G121)</x:f>
      </x:c>
    </x:row>
    <x:row r="122">
      <x:c r="K122" s="17" t="str">
        <x:f>IF($B122="","",IF(COUNTIF('共享事件'!$A$2:$A$301,$B122)&lt;&gt;1,"事件ID缺失或重复",INDEX('共享事件'!$A$2:$M$301,MATCH($B122,'共享事件'!$A$2:$A$301,0),2)))</x:f>
      </x:c>
      <x:c r="L122" s="18" t="str">
        <x:f>IF($B122="","",IF(COUNTIF('共享事件'!$A$2:$A$301,$B122)&lt;&gt;1,"事件ID缺失或重复",INDEX('共享事件'!$A$2:$M$301,MATCH($B122,'共享事件'!$A$2:$A$301,0),3)))</x:f>
      </x:c>
      <x:c r="M122" s="18" t="str">
        <x:f>IF($B122="","",IF(COUNTIF('共享事件'!$A$2:$A$301,$B122)&lt;&gt;1,"事件ID缺失或重复",INDEX('共享事件'!$A$2:$M$301,MATCH($B122,'共享事件'!$A$2:$A$301,0),4)))</x:f>
      </x:c>
      <x:c r="N122" s="17" t="str">
        <x:f>IF($B122="","",IF(COUNTIF('共享事件'!$A$2:$A$301,$B122)&lt;&gt;1,"事件ID缺失或重复",INDEX('共享事件'!$A$2:$M$301,MATCH($B122,'共享事件'!$A$2:$A$301,0),7)))</x:f>
      </x:c>
      <x:c r="O122" s="17" t="n">
        <x:f>IF($A122="",0,IF(AND($C122='季度总览'!$D$3,$L122='季度总览'!$B$3,OR('季度总览'!$F$3="全部",$D122='季度总览'!$F$3,$D122="全国",$D122="全球")),1,0))</x:f>
        <x:v>0</x:v>
      </x:c>
      <x:c r="P122" s="17" t="str">
        <x:f>IF($A122="","",$K122&amp;"【"&amp;$N122&amp;"】"&amp;CHAR(10)&amp;$D122&amp;"："&amp;$G122)</x:f>
      </x:c>
    </x:row>
    <x:row r="123">
      <x:c r="K123" s="17" t="str">
        <x:f>IF($B123="","",IF(COUNTIF('共享事件'!$A$2:$A$301,$B123)&lt;&gt;1,"事件ID缺失或重复",INDEX('共享事件'!$A$2:$M$301,MATCH($B123,'共享事件'!$A$2:$A$301,0),2)))</x:f>
      </x:c>
      <x:c r="L123" s="18" t="str">
        <x:f>IF($B123="","",IF(COUNTIF('共享事件'!$A$2:$A$301,$B123)&lt;&gt;1,"事件ID缺失或重复",INDEX('共享事件'!$A$2:$M$301,MATCH($B123,'共享事件'!$A$2:$A$301,0),3)))</x:f>
      </x:c>
      <x:c r="M123" s="18" t="str">
        <x:f>IF($B123="","",IF(COUNTIF('共享事件'!$A$2:$A$301,$B123)&lt;&gt;1,"事件ID缺失或重复",INDEX('共享事件'!$A$2:$M$301,MATCH($B123,'共享事件'!$A$2:$A$301,0),4)))</x:f>
      </x:c>
      <x:c r="N123" s="17" t="str">
        <x:f>IF($B123="","",IF(COUNTIF('共享事件'!$A$2:$A$301,$B123)&lt;&gt;1,"事件ID缺失或重复",INDEX('共享事件'!$A$2:$M$301,MATCH($B123,'共享事件'!$A$2:$A$301,0),7)))</x:f>
      </x:c>
      <x:c r="O123" s="17" t="n">
        <x:f>IF($A123="",0,IF(AND($C123='季度总览'!$D$3,$L123='季度总览'!$B$3,OR('季度总览'!$F$3="全部",$D123='季度总览'!$F$3,$D123="全国",$D123="全球")),1,0))</x:f>
        <x:v>0</x:v>
      </x:c>
      <x:c r="P123" s="17" t="str">
        <x:f>IF($A123="","",$K123&amp;"【"&amp;$N123&amp;"】"&amp;CHAR(10)&amp;$D123&amp;"："&amp;$G123)</x:f>
      </x:c>
    </x:row>
    <x:row r="124">
      <x:c r="K124" s="17" t="str">
        <x:f>IF($B124="","",IF(COUNTIF('共享事件'!$A$2:$A$301,$B124)&lt;&gt;1,"事件ID缺失或重复",INDEX('共享事件'!$A$2:$M$301,MATCH($B124,'共享事件'!$A$2:$A$301,0),2)))</x:f>
      </x:c>
      <x:c r="L124" s="18" t="str">
        <x:f>IF($B124="","",IF(COUNTIF('共享事件'!$A$2:$A$301,$B124)&lt;&gt;1,"事件ID缺失或重复",INDEX('共享事件'!$A$2:$M$301,MATCH($B124,'共享事件'!$A$2:$A$301,0),3)))</x:f>
      </x:c>
      <x:c r="M124" s="18" t="str">
        <x:f>IF($B124="","",IF(COUNTIF('共享事件'!$A$2:$A$301,$B124)&lt;&gt;1,"事件ID缺失或重复",INDEX('共享事件'!$A$2:$M$301,MATCH($B124,'共享事件'!$A$2:$A$301,0),4)))</x:f>
      </x:c>
      <x:c r="N124" s="17" t="str">
        <x:f>IF($B124="","",IF(COUNTIF('共享事件'!$A$2:$A$301,$B124)&lt;&gt;1,"事件ID缺失或重复",INDEX('共享事件'!$A$2:$M$301,MATCH($B124,'共享事件'!$A$2:$A$301,0),7)))</x:f>
      </x:c>
      <x:c r="O124" s="17" t="n">
        <x:f>IF($A124="",0,IF(AND($C124='季度总览'!$D$3,$L124='季度总览'!$B$3,OR('季度总览'!$F$3="全部",$D124='季度总览'!$F$3,$D124="全国",$D124="全球")),1,0))</x:f>
        <x:v>0</x:v>
      </x:c>
      <x:c r="P124" s="17" t="str">
        <x:f>IF($A124="","",$K124&amp;"【"&amp;$N124&amp;"】"&amp;CHAR(10)&amp;$D124&amp;"："&amp;$G124)</x:f>
      </x:c>
    </x:row>
    <x:row r="125">
      <x:c r="K125" s="17" t="str">
        <x:f>IF($B125="","",IF(COUNTIF('共享事件'!$A$2:$A$301,$B125)&lt;&gt;1,"事件ID缺失或重复",INDEX('共享事件'!$A$2:$M$301,MATCH($B125,'共享事件'!$A$2:$A$301,0),2)))</x:f>
      </x:c>
      <x:c r="L125" s="18" t="str">
        <x:f>IF($B125="","",IF(COUNTIF('共享事件'!$A$2:$A$301,$B125)&lt;&gt;1,"事件ID缺失或重复",INDEX('共享事件'!$A$2:$M$301,MATCH($B125,'共享事件'!$A$2:$A$301,0),3)))</x:f>
      </x:c>
      <x:c r="M125" s="18" t="str">
        <x:f>IF($B125="","",IF(COUNTIF('共享事件'!$A$2:$A$301,$B125)&lt;&gt;1,"事件ID缺失或重复",INDEX('共享事件'!$A$2:$M$301,MATCH($B125,'共享事件'!$A$2:$A$301,0),4)))</x:f>
      </x:c>
      <x:c r="N125" s="17" t="str">
        <x:f>IF($B125="","",IF(COUNTIF('共享事件'!$A$2:$A$301,$B125)&lt;&gt;1,"事件ID缺失或重复",INDEX('共享事件'!$A$2:$M$301,MATCH($B125,'共享事件'!$A$2:$A$301,0),7)))</x:f>
      </x:c>
      <x:c r="O125" s="17" t="n">
        <x:f>IF($A125="",0,IF(AND($C125='季度总览'!$D$3,$L125='季度总览'!$B$3,OR('季度总览'!$F$3="全部",$D125='季度总览'!$F$3,$D125="全国",$D125="全球")),1,0))</x:f>
        <x:v>0</x:v>
      </x:c>
      <x:c r="P125" s="17" t="str">
        <x:f>IF($A125="","",$K125&amp;"【"&amp;$N125&amp;"】"&amp;CHAR(10)&amp;$D125&amp;"："&amp;$G125)</x:f>
      </x:c>
    </x:row>
    <x:row r="126">
      <x:c r="K126" s="17" t="str">
        <x:f>IF($B126="","",IF(COUNTIF('共享事件'!$A$2:$A$301,$B126)&lt;&gt;1,"事件ID缺失或重复",INDEX('共享事件'!$A$2:$M$301,MATCH($B126,'共享事件'!$A$2:$A$301,0),2)))</x:f>
      </x:c>
      <x:c r="L126" s="18" t="str">
        <x:f>IF($B126="","",IF(COUNTIF('共享事件'!$A$2:$A$301,$B126)&lt;&gt;1,"事件ID缺失或重复",INDEX('共享事件'!$A$2:$M$301,MATCH($B126,'共享事件'!$A$2:$A$301,0),3)))</x:f>
      </x:c>
      <x:c r="M126" s="18" t="str">
        <x:f>IF($B126="","",IF(COUNTIF('共享事件'!$A$2:$A$301,$B126)&lt;&gt;1,"事件ID缺失或重复",INDEX('共享事件'!$A$2:$M$301,MATCH($B126,'共享事件'!$A$2:$A$301,0),4)))</x:f>
      </x:c>
      <x:c r="N126" s="17" t="str">
        <x:f>IF($B126="","",IF(COUNTIF('共享事件'!$A$2:$A$301,$B126)&lt;&gt;1,"事件ID缺失或重复",INDEX('共享事件'!$A$2:$M$301,MATCH($B126,'共享事件'!$A$2:$A$301,0),7)))</x:f>
      </x:c>
      <x:c r="O126" s="17" t="n">
        <x:f>IF($A126="",0,IF(AND($C126='季度总览'!$D$3,$L126='季度总览'!$B$3,OR('季度总览'!$F$3="全部",$D126='季度总览'!$F$3,$D126="全国",$D126="全球")),1,0))</x:f>
        <x:v>0</x:v>
      </x:c>
      <x:c r="P126" s="17" t="str">
        <x:f>IF($A126="","",$K126&amp;"【"&amp;$N126&amp;"】"&amp;CHAR(10)&amp;$D126&amp;"："&amp;$G126)</x:f>
      </x:c>
    </x:row>
    <x:row r="127">
      <x:c r="K127" s="17" t="str">
        <x:f>IF($B127="","",IF(COUNTIF('共享事件'!$A$2:$A$301,$B127)&lt;&gt;1,"事件ID缺失或重复",INDEX('共享事件'!$A$2:$M$301,MATCH($B127,'共享事件'!$A$2:$A$301,0),2)))</x:f>
      </x:c>
      <x:c r="L127" s="18" t="str">
        <x:f>IF($B127="","",IF(COUNTIF('共享事件'!$A$2:$A$301,$B127)&lt;&gt;1,"事件ID缺失或重复",INDEX('共享事件'!$A$2:$M$301,MATCH($B127,'共享事件'!$A$2:$A$301,0),3)))</x:f>
      </x:c>
      <x:c r="M127" s="18" t="str">
        <x:f>IF($B127="","",IF(COUNTIF('共享事件'!$A$2:$A$301,$B127)&lt;&gt;1,"事件ID缺失或重复",INDEX('共享事件'!$A$2:$M$301,MATCH($B127,'共享事件'!$A$2:$A$301,0),4)))</x:f>
      </x:c>
      <x:c r="N127" s="17" t="str">
        <x:f>IF($B127="","",IF(COUNTIF('共享事件'!$A$2:$A$301,$B127)&lt;&gt;1,"事件ID缺失或重复",INDEX('共享事件'!$A$2:$M$301,MATCH($B127,'共享事件'!$A$2:$A$301,0),7)))</x:f>
      </x:c>
      <x:c r="O127" s="17" t="n">
        <x:f>IF($A127="",0,IF(AND($C127='季度总览'!$D$3,$L127='季度总览'!$B$3,OR('季度总览'!$F$3="全部",$D127='季度总览'!$F$3,$D127="全国",$D127="全球")),1,0))</x:f>
        <x:v>0</x:v>
      </x:c>
      <x:c r="P127" s="17" t="str">
        <x:f>IF($A127="","",$K127&amp;"【"&amp;$N127&amp;"】"&amp;CHAR(10)&amp;$D127&amp;"："&amp;$G127)</x:f>
      </x:c>
    </x:row>
    <x:row r="128">
      <x:c r="K128" s="17" t="str">
        <x:f>IF($B128="","",IF(COUNTIF('共享事件'!$A$2:$A$301,$B128)&lt;&gt;1,"事件ID缺失或重复",INDEX('共享事件'!$A$2:$M$301,MATCH($B128,'共享事件'!$A$2:$A$301,0),2)))</x:f>
      </x:c>
      <x:c r="L128" s="18" t="str">
        <x:f>IF($B128="","",IF(COUNTIF('共享事件'!$A$2:$A$301,$B128)&lt;&gt;1,"事件ID缺失或重复",INDEX('共享事件'!$A$2:$M$301,MATCH($B128,'共享事件'!$A$2:$A$301,0),3)))</x:f>
      </x:c>
      <x:c r="M128" s="18" t="str">
        <x:f>IF($B128="","",IF(COUNTIF('共享事件'!$A$2:$A$301,$B128)&lt;&gt;1,"事件ID缺失或重复",INDEX('共享事件'!$A$2:$M$301,MATCH($B128,'共享事件'!$A$2:$A$301,0),4)))</x:f>
      </x:c>
      <x:c r="N128" s="17" t="str">
        <x:f>IF($B128="","",IF(COUNTIF('共享事件'!$A$2:$A$301,$B128)&lt;&gt;1,"事件ID缺失或重复",INDEX('共享事件'!$A$2:$M$301,MATCH($B128,'共享事件'!$A$2:$A$301,0),7)))</x:f>
      </x:c>
      <x:c r="O128" s="17" t="n">
        <x:f>IF($A128="",0,IF(AND($C128='季度总览'!$D$3,$L128='季度总览'!$B$3,OR('季度总览'!$F$3="全部",$D128='季度总览'!$F$3,$D128="全国",$D128="全球")),1,0))</x:f>
        <x:v>0</x:v>
      </x:c>
      <x:c r="P128" s="17" t="str">
        <x:f>IF($A128="","",$K128&amp;"【"&amp;$N128&amp;"】"&amp;CHAR(10)&amp;$D128&amp;"："&amp;$G128)</x:f>
      </x:c>
    </x:row>
    <x:row r="129">
      <x:c r="K129" s="17" t="str">
        <x:f>IF($B129="","",IF(COUNTIF('共享事件'!$A$2:$A$301,$B129)&lt;&gt;1,"事件ID缺失或重复",INDEX('共享事件'!$A$2:$M$301,MATCH($B129,'共享事件'!$A$2:$A$301,0),2)))</x:f>
      </x:c>
      <x:c r="L129" s="18" t="str">
        <x:f>IF($B129="","",IF(COUNTIF('共享事件'!$A$2:$A$301,$B129)&lt;&gt;1,"事件ID缺失或重复",INDEX('共享事件'!$A$2:$M$301,MATCH($B129,'共享事件'!$A$2:$A$301,0),3)))</x:f>
      </x:c>
      <x:c r="M129" s="18" t="str">
        <x:f>IF($B129="","",IF(COUNTIF('共享事件'!$A$2:$A$301,$B129)&lt;&gt;1,"事件ID缺失或重复",INDEX('共享事件'!$A$2:$M$301,MATCH($B129,'共享事件'!$A$2:$A$301,0),4)))</x:f>
      </x:c>
      <x:c r="N129" s="17" t="str">
        <x:f>IF($B129="","",IF(COUNTIF('共享事件'!$A$2:$A$301,$B129)&lt;&gt;1,"事件ID缺失或重复",INDEX('共享事件'!$A$2:$M$301,MATCH($B129,'共享事件'!$A$2:$A$301,0),7)))</x:f>
      </x:c>
      <x:c r="O129" s="17" t="n">
        <x:f>IF($A129="",0,IF(AND($C129='季度总览'!$D$3,$L129='季度总览'!$B$3,OR('季度总览'!$F$3="全部",$D129='季度总览'!$F$3,$D129="全国",$D129="全球")),1,0))</x:f>
        <x:v>0</x:v>
      </x:c>
      <x:c r="P129" s="17" t="str">
        <x:f>IF($A129="","",$K129&amp;"【"&amp;$N129&amp;"】"&amp;CHAR(10)&amp;$D129&amp;"："&amp;$G129)</x:f>
      </x:c>
    </x:row>
    <x:row r="130">
      <x:c r="K130" s="17" t="str">
        <x:f>IF($B130="","",IF(COUNTIF('共享事件'!$A$2:$A$301,$B130)&lt;&gt;1,"事件ID缺失或重复",INDEX('共享事件'!$A$2:$M$301,MATCH($B130,'共享事件'!$A$2:$A$301,0),2)))</x:f>
      </x:c>
      <x:c r="L130" s="18" t="str">
        <x:f>IF($B130="","",IF(COUNTIF('共享事件'!$A$2:$A$301,$B130)&lt;&gt;1,"事件ID缺失或重复",INDEX('共享事件'!$A$2:$M$301,MATCH($B130,'共享事件'!$A$2:$A$301,0),3)))</x:f>
      </x:c>
      <x:c r="M130" s="18" t="str">
        <x:f>IF($B130="","",IF(COUNTIF('共享事件'!$A$2:$A$301,$B130)&lt;&gt;1,"事件ID缺失或重复",INDEX('共享事件'!$A$2:$M$301,MATCH($B130,'共享事件'!$A$2:$A$301,0),4)))</x:f>
      </x:c>
      <x:c r="N130" s="17" t="str">
        <x:f>IF($B130="","",IF(COUNTIF('共享事件'!$A$2:$A$301,$B130)&lt;&gt;1,"事件ID缺失或重复",INDEX('共享事件'!$A$2:$M$301,MATCH($B130,'共享事件'!$A$2:$A$301,0),7)))</x:f>
      </x:c>
      <x:c r="O130" s="17" t="n">
        <x:f>IF($A130="",0,IF(AND($C130='季度总览'!$D$3,$L130='季度总览'!$B$3,OR('季度总览'!$F$3="全部",$D130='季度总览'!$F$3,$D130="全国",$D130="全球")),1,0))</x:f>
        <x:v>0</x:v>
      </x:c>
      <x:c r="P130" s="17" t="str">
        <x:f>IF($A130="","",$K130&amp;"【"&amp;$N130&amp;"】"&amp;CHAR(10)&amp;$D130&amp;"："&amp;$G130)</x:f>
      </x:c>
    </x:row>
    <x:row r="131">
      <x:c r="K131" s="17" t="str">
        <x:f>IF($B131="","",IF(COUNTIF('共享事件'!$A$2:$A$301,$B131)&lt;&gt;1,"事件ID缺失或重复",INDEX('共享事件'!$A$2:$M$301,MATCH($B131,'共享事件'!$A$2:$A$301,0),2)))</x:f>
      </x:c>
      <x:c r="L131" s="18" t="str">
        <x:f>IF($B131="","",IF(COUNTIF('共享事件'!$A$2:$A$301,$B131)&lt;&gt;1,"事件ID缺失或重复",INDEX('共享事件'!$A$2:$M$301,MATCH($B131,'共享事件'!$A$2:$A$301,0),3)))</x:f>
      </x:c>
      <x:c r="M131" s="18" t="str">
        <x:f>IF($B131="","",IF(COUNTIF('共享事件'!$A$2:$A$301,$B131)&lt;&gt;1,"事件ID缺失或重复",INDEX('共享事件'!$A$2:$M$301,MATCH($B131,'共享事件'!$A$2:$A$301,0),4)))</x:f>
      </x:c>
      <x:c r="N131" s="17" t="str">
        <x:f>IF($B131="","",IF(COUNTIF('共享事件'!$A$2:$A$301,$B131)&lt;&gt;1,"事件ID缺失或重复",INDEX('共享事件'!$A$2:$M$301,MATCH($B131,'共享事件'!$A$2:$A$301,0),7)))</x:f>
      </x:c>
      <x:c r="O131" s="17" t="n">
        <x:f>IF($A131="",0,IF(AND($C131='季度总览'!$D$3,$L131='季度总览'!$B$3,OR('季度总览'!$F$3="全部",$D131='季度总览'!$F$3,$D131="全国",$D131="全球")),1,0))</x:f>
        <x:v>0</x:v>
      </x:c>
      <x:c r="P131" s="17" t="str">
        <x:f>IF($A131="","",$K131&amp;"【"&amp;$N131&amp;"】"&amp;CHAR(10)&amp;$D131&amp;"："&amp;$G131)</x:f>
      </x:c>
    </x:row>
    <x:row r="132">
      <x:c r="K132" s="17" t="str">
        <x:f>IF($B132="","",IF(COUNTIF('共享事件'!$A$2:$A$301,$B132)&lt;&gt;1,"事件ID缺失或重复",INDEX('共享事件'!$A$2:$M$301,MATCH($B132,'共享事件'!$A$2:$A$301,0),2)))</x:f>
      </x:c>
      <x:c r="L132" s="18" t="str">
        <x:f>IF($B132="","",IF(COUNTIF('共享事件'!$A$2:$A$301,$B132)&lt;&gt;1,"事件ID缺失或重复",INDEX('共享事件'!$A$2:$M$301,MATCH($B132,'共享事件'!$A$2:$A$301,0),3)))</x:f>
      </x:c>
      <x:c r="M132" s="18" t="str">
        <x:f>IF($B132="","",IF(COUNTIF('共享事件'!$A$2:$A$301,$B132)&lt;&gt;1,"事件ID缺失或重复",INDEX('共享事件'!$A$2:$M$301,MATCH($B132,'共享事件'!$A$2:$A$301,0),4)))</x:f>
      </x:c>
      <x:c r="N132" s="17" t="str">
        <x:f>IF($B132="","",IF(COUNTIF('共享事件'!$A$2:$A$301,$B132)&lt;&gt;1,"事件ID缺失或重复",INDEX('共享事件'!$A$2:$M$301,MATCH($B132,'共享事件'!$A$2:$A$301,0),7)))</x:f>
      </x:c>
      <x:c r="O132" s="17" t="n">
        <x:f>IF($A132="",0,IF(AND($C132='季度总览'!$D$3,$L132='季度总览'!$B$3,OR('季度总览'!$F$3="全部",$D132='季度总览'!$F$3,$D132="全国",$D132="全球")),1,0))</x:f>
        <x:v>0</x:v>
      </x:c>
      <x:c r="P132" s="17" t="str">
        <x:f>IF($A132="","",$K132&amp;"【"&amp;$N132&amp;"】"&amp;CHAR(10)&amp;$D132&amp;"："&amp;$G132)</x:f>
      </x:c>
    </x:row>
    <x:row r="133">
      <x:c r="K133" s="17" t="str">
        <x:f>IF($B133="","",IF(COUNTIF('共享事件'!$A$2:$A$301,$B133)&lt;&gt;1,"事件ID缺失或重复",INDEX('共享事件'!$A$2:$M$301,MATCH($B133,'共享事件'!$A$2:$A$301,0),2)))</x:f>
      </x:c>
      <x:c r="L133" s="18" t="str">
        <x:f>IF($B133="","",IF(COUNTIF('共享事件'!$A$2:$A$301,$B133)&lt;&gt;1,"事件ID缺失或重复",INDEX('共享事件'!$A$2:$M$301,MATCH($B133,'共享事件'!$A$2:$A$301,0),3)))</x:f>
      </x:c>
      <x:c r="M133" s="18" t="str">
        <x:f>IF($B133="","",IF(COUNTIF('共享事件'!$A$2:$A$301,$B133)&lt;&gt;1,"事件ID缺失或重复",INDEX('共享事件'!$A$2:$M$301,MATCH($B133,'共享事件'!$A$2:$A$301,0),4)))</x:f>
      </x:c>
      <x:c r="N133" s="17" t="str">
        <x:f>IF($B133="","",IF(COUNTIF('共享事件'!$A$2:$A$301,$B133)&lt;&gt;1,"事件ID缺失或重复",INDEX('共享事件'!$A$2:$M$301,MATCH($B133,'共享事件'!$A$2:$A$301,0),7)))</x:f>
      </x:c>
      <x:c r="O133" s="17" t="n">
        <x:f>IF($A133="",0,IF(AND($C133='季度总览'!$D$3,$L133='季度总览'!$B$3,OR('季度总览'!$F$3="全部",$D133='季度总览'!$F$3,$D133="全国",$D133="全球")),1,0))</x:f>
        <x:v>0</x:v>
      </x:c>
      <x:c r="P133" s="17" t="str">
        <x:f>IF($A133="","",$K133&amp;"【"&amp;$N133&amp;"】"&amp;CHAR(10)&amp;$D133&amp;"："&amp;$G133)</x:f>
      </x:c>
    </x:row>
    <x:row r="134">
      <x:c r="K134" s="17" t="str">
        <x:f>IF($B134="","",IF(COUNTIF('共享事件'!$A$2:$A$301,$B134)&lt;&gt;1,"事件ID缺失或重复",INDEX('共享事件'!$A$2:$M$301,MATCH($B134,'共享事件'!$A$2:$A$301,0),2)))</x:f>
      </x:c>
      <x:c r="L134" s="18" t="str">
        <x:f>IF($B134="","",IF(COUNTIF('共享事件'!$A$2:$A$301,$B134)&lt;&gt;1,"事件ID缺失或重复",INDEX('共享事件'!$A$2:$M$301,MATCH($B134,'共享事件'!$A$2:$A$301,0),3)))</x:f>
      </x:c>
      <x:c r="M134" s="18" t="str">
        <x:f>IF($B134="","",IF(COUNTIF('共享事件'!$A$2:$A$301,$B134)&lt;&gt;1,"事件ID缺失或重复",INDEX('共享事件'!$A$2:$M$301,MATCH($B134,'共享事件'!$A$2:$A$301,0),4)))</x:f>
      </x:c>
      <x:c r="N134" s="17" t="str">
        <x:f>IF($B134="","",IF(COUNTIF('共享事件'!$A$2:$A$301,$B134)&lt;&gt;1,"事件ID缺失或重复",INDEX('共享事件'!$A$2:$M$301,MATCH($B134,'共享事件'!$A$2:$A$301,0),7)))</x:f>
      </x:c>
      <x:c r="O134" s="17" t="n">
        <x:f>IF($A134="",0,IF(AND($C134='季度总览'!$D$3,$L134='季度总览'!$B$3,OR('季度总览'!$F$3="全部",$D134='季度总览'!$F$3,$D134="全国",$D134="全球")),1,0))</x:f>
        <x:v>0</x:v>
      </x:c>
      <x:c r="P134" s="17" t="str">
        <x:f>IF($A134="","",$K134&amp;"【"&amp;$N134&amp;"】"&amp;CHAR(10)&amp;$D134&amp;"："&amp;$G134)</x:f>
      </x:c>
    </x:row>
    <x:row r="135">
      <x:c r="K135" s="17" t="str">
        <x:f>IF($B135="","",IF(COUNTIF('共享事件'!$A$2:$A$301,$B135)&lt;&gt;1,"事件ID缺失或重复",INDEX('共享事件'!$A$2:$M$301,MATCH($B135,'共享事件'!$A$2:$A$301,0),2)))</x:f>
      </x:c>
      <x:c r="L135" s="18" t="str">
        <x:f>IF($B135="","",IF(COUNTIF('共享事件'!$A$2:$A$301,$B135)&lt;&gt;1,"事件ID缺失或重复",INDEX('共享事件'!$A$2:$M$301,MATCH($B135,'共享事件'!$A$2:$A$301,0),3)))</x:f>
      </x:c>
      <x:c r="M135" s="18" t="str">
        <x:f>IF($B135="","",IF(COUNTIF('共享事件'!$A$2:$A$301,$B135)&lt;&gt;1,"事件ID缺失或重复",INDEX('共享事件'!$A$2:$M$301,MATCH($B135,'共享事件'!$A$2:$A$301,0),4)))</x:f>
      </x:c>
      <x:c r="N135" s="17" t="str">
        <x:f>IF($B135="","",IF(COUNTIF('共享事件'!$A$2:$A$301,$B135)&lt;&gt;1,"事件ID缺失或重复",INDEX('共享事件'!$A$2:$M$301,MATCH($B135,'共享事件'!$A$2:$A$301,0),7)))</x:f>
      </x:c>
      <x:c r="O135" s="17" t="n">
        <x:f>IF($A135="",0,IF(AND($C135='季度总览'!$D$3,$L135='季度总览'!$B$3,OR('季度总览'!$F$3="全部",$D135='季度总览'!$F$3,$D135="全国",$D135="全球")),1,0))</x:f>
        <x:v>0</x:v>
      </x:c>
      <x:c r="P135" s="17" t="str">
        <x:f>IF($A135="","",$K135&amp;"【"&amp;$N135&amp;"】"&amp;CHAR(10)&amp;$D135&amp;"："&amp;$G135)</x:f>
      </x:c>
    </x:row>
    <x:row r="136">
      <x:c r="K136" s="17" t="str">
        <x:f>IF($B136="","",IF(COUNTIF('共享事件'!$A$2:$A$301,$B136)&lt;&gt;1,"事件ID缺失或重复",INDEX('共享事件'!$A$2:$M$301,MATCH($B136,'共享事件'!$A$2:$A$301,0),2)))</x:f>
      </x:c>
      <x:c r="L136" s="18" t="str">
        <x:f>IF($B136="","",IF(COUNTIF('共享事件'!$A$2:$A$301,$B136)&lt;&gt;1,"事件ID缺失或重复",INDEX('共享事件'!$A$2:$M$301,MATCH($B136,'共享事件'!$A$2:$A$301,0),3)))</x:f>
      </x:c>
      <x:c r="M136" s="18" t="str">
        <x:f>IF($B136="","",IF(COUNTIF('共享事件'!$A$2:$A$301,$B136)&lt;&gt;1,"事件ID缺失或重复",INDEX('共享事件'!$A$2:$M$301,MATCH($B136,'共享事件'!$A$2:$A$301,0),4)))</x:f>
      </x:c>
      <x:c r="N136" s="17" t="str">
        <x:f>IF($B136="","",IF(COUNTIF('共享事件'!$A$2:$A$301,$B136)&lt;&gt;1,"事件ID缺失或重复",INDEX('共享事件'!$A$2:$M$301,MATCH($B136,'共享事件'!$A$2:$A$301,0),7)))</x:f>
      </x:c>
      <x:c r="O136" s="17" t="n">
        <x:f>IF($A136="",0,IF(AND($C136='季度总览'!$D$3,$L136='季度总览'!$B$3,OR('季度总览'!$F$3="全部",$D136='季度总览'!$F$3,$D136="全国",$D136="全球")),1,0))</x:f>
        <x:v>0</x:v>
      </x:c>
      <x:c r="P136" s="17" t="str">
        <x:f>IF($A136="","",$K136&amp;"【"&amp;$N136&amp;"】"&amp;CHAR(10)&amp;$D136&amp;"："&amp;$G136)</x:f>
      </x:c>
    </x:row>
    <x:row r="137">
      <x:c r="K137" s="17" t="str">
        <x:f>IF($B137="","",IF(COUNTIF('共享事件'!$A$2:$A$301,$B137)&lt;&gt;1,"事件ID缺失或重复",INDEX('共享事件'!$A$2:$M$301,MATCH($B137,'共享事件'!$A$2:$A$301,0),2)))</x:f>
      </x:c>
      <x:c r="L137" s="18" t="str">
        <x:f>IF($B137="","",IF(COUNTIF('共享事件'!$A$2:$A$301,$B137)&lt;&gt;1,"事件ID缺失或重复",INDEX('共享事件'!$A$2:$M$301,MATCH($B137,'共享事件'!$A$2:$A$301,0),3)))</x:f>
      </x:c>
      <x:c r="M137" s="18" t="str">
        <x:f>IF($B137="","",IF(COUNTIF('共享事件'!$A$2:$A$301,$B137)&lt;&gt;1,"事件ID缺失或重复",INDEX('共享事件'!$A$2:$M$301,MATCH($B137,'共享事件'!$A$2:$A$301,0),4)))</x:f>
      </x:c>
      <x:c r="N137" s="17" t="str">
        <x:f>IF($B137="","",IF(COUNTIF('共享事件'!$A$2:$A$301,$B137)&lt;&gt;1,"事件ID缺失或重复",INDEX('共享事件'!$A$2:$M$301,MATCH($B137,'共享事件'!$A$2:$A$301,0),7)))</x:f>
      </x:c>
      <x:c r="O137" s="17" t="n">
        <x:f>IF($A137="",0,IF(AND($C137='季度总览'!$D$3,$L137='季度总览'!$B$3,OR('季度总览'!$F$3="全部",$D137='季度总览'!$F$3,$D137="全国",$D137="全球")),1,0))</x:f>
        <x:v>0</x:v>
      </x:c>
      <x:c r="P137" s="17" t="str">
        <x:f>IF($A137="","",$K137&amp;"【"&amp;$N137&amp;"】"&amp;CHAR(10)&amp;$D137&amp;"："&amp;$G137)</x:f>
      </x:c>
    </x:row>
    <x:row r="138">
      <x:c r="K138" s="17" t="str">
        <x:f>IF($B138="","",IF(COUNTIF('共享事件'!$A$2:$A$301,$B138)&lt;&gt;1,"事件ID缺失或重复",INDEX('共享事件'!$A$2:$M$301,MATCH($B138,'共享事件'!$A$2:$A$301,0),2)))</x:f>
      </x:c>
      <x:c r="L138" s="18" t="str">
        <x:f>IF($B138="","",IF(COUNTIF('共享事件'!$A$2:$A$301,$B138)&lt;&gt;1,"事件ID缺失或重复",INDEX('共享事件'!$A$2:$M$301,MATCH($B138,'共享事件'!$A$2:$A$301,0),3)))</x:f>
      </x:c>
      <x:c r="M138" s="18" t="str">
        <x:f>IF($B138="","",IF(COUNTIF('共享事件'!$A$2:$A$301,$B138)&lt;&gt;1,"事件ID缺失或重复",INDEX('共享事件'!$A$2:$M$301,MATCH($B138,'共享事件'!$A$2:$A$301,0),4)))</x:f>
      </x:c>
      <x:c r="N138" s="17" t="str">
        <x:f>IF($B138="","",IF(COUNTIF('共享事件'!$A$2:$A$301,$B138)&lt;&gt;1,"事件ID缺失或重复",INDEX('共享事件'!$A$2:$M$301,MATCH($B138,'共享事件'!$A$2:$A$301,0),7)))</x:f>
      </x:c>
      <x:c r="O138" s="17" t="n">
        <x:f>IF($A138="",0,IF(AND($C138='季度总览'!$D$3,$L138='季度总览'!$B$3,OR('季度总览'!$F$3="全部",$D138='季度总览'!$F$3,$D138="全国",$D138="全球")),1,0))</x:f>
        <x:v>0</x:v>
      </x:c>
      <x:c r="P138" s="17" t="str">
        <x:f>IF($A138="","",$K138&amp;"【"&amp;$N138&amp;"】"&amp;CHAR(10)&amp;$D138&amp;"："&amp;$G138)</x:f>
      </x:c>
    </x:row>
    <x:row r="139">
      <x:c r="K139" s="17" t="str">
        <x:f>IF($B139="","",IF(COUNTIF('共享事件'!$A$2:$A$301,$B139)&lt;&gt;1,"事件ID缺失或重复",INDEX('共享事件'!$A$2:$M$301,MATCH($B139,'共享事件'!$A$2:$A$301,0),2)))</x:f>
      </x:c>
      <x:c r="L139" s="18" t="str">
        <x:f>IF($B139="","",IF(COUNTIF('共享事件'!$A$2:$A$301,$B139)&lt;&gt;1,"事件ID缺失或重复",INDEX('共享事件'!$A$2:$M$301,MATCH($B139,'共享事件'!$A$2:$A$301,0),3)))</x:f>
      </x:c>
      <x:c r="M139" s="18" t="str">
        <x:f>IF($B139="","",IF(COUNTIF('共享事件'!$A$2:$A$301,$B139)&lt;&gt;1,"事件ID缺失或重复",INDEX('共享事件'!$A$2:$M$301,MATCH($B139,'共享事件'!$A$2:$A$301,0),4)))</x:f>
      </x:c>
      <x:c r="N139" s="17" t="str">
        <x:f>IF($B139="","",IF(COUNTIF('共享事件'!$A$2:$A$301,$B139)&lt;&gt;1,"事件ID缺失或重复",INDEX('共享事件'!$A$2:$M$301,MATCH($B139,'共享事件'!$A$2:$A$301,0),7)))</x:f>
      </x:c>
      <x:c r="O139" s="17" t="n">
        <x:f>IF($A139="",0,IF(AND($C139='季度总览'!$D$3,$L139='季度总览'!$B$3,OR('季度总览'!$F$3="全部",$D139='季度总览'!$F$3,$D139="全国",$D139="全球")),1,0))</x:f>
        <x:v>0</x:v>
      </x:c>
      <x:c r="P139" s="17" t="str">
        <x:f>IF($A139="","",$K139&amp;"【"&amp;$N139&amp;"】"&amp;CHAR(10)&amp;$D139&amp;"："&amp;$G139)</x:f>
      </x:c>
    </x:row>
    <x:row r="140">
      <x:c r="K140" s="17" t="str">
        <x:f>IF($B140="","",IF(COUNTIF('共享事件'!$A$2:$A$301,$B140)&lt;&gt;1,"事件ID缺失或重复",INDEX('共享事件'!$A$2:$M$301,MATCH($B140,'共享事件'!$A$2:$A$301,0),2)))</x:f>
      </x:c>
      <x:c r="L140" s="18" t="str">
        <x:f>IF($B140="","",IF(COUNTIF('共享事件'!$A$2:$A$301,$B140)&lt;&gt;1,"事件ID缺失或重复",INDEX('共享事件'!$A$2:$M$301,MATCH($B140,'共享事件'!$A$2:$A$301,0),3)))</x:f>
      </x:c>
      <x:c r="M140" s="18" t="str">
        <x:f>IF($B140="","",IF(COUNTIF('共享事件'!$A$2:$A$301,$B140)&lt;&gt;1,"事件ID缺失或重复",INDEX('共享事件'!$A$2:$M$301,MATCH($B140,'共享事件'!$A$2:$A$301,0),4)))</x:f>
      </x:c>
      <x:c r="N140" s="17" t="str">
        <x:f>IF($B140="","",IF(COUNTIF('共享事件'!$A$2:$A$301,$B140)&lt;&gt;1,"事件ID缺失或重复",INDEX('共享事件'!$A$2:$M$301,MATCH($B140,'共享事件'!$A$2:$A$301,0),7)))</x:f>
      </x:c>
      <x:c r="O140" s="17" t="n">
        <x:f>IF($A140="",0,IF(AND($C140='季度总览'!$D$3,$L140='季度总览'!$B$3,OR('季度总览'!$F$3="全部",$D140='季度总览'!$F$3,$D140="全国",$D140="全球")),1,0))</x:f>
        <x:v>0</x:v>
      </x:c>
      <x:c r="P140" s="17" t="str">
        <x:f>IF($A140="","",$K140&amp;"【"&amp;$N140&amp;"】"&amp;CHAR(10)&amp;$D140&amp;"："&amp;$G140)</x:f>
      </x:c>
    </x:row>
    <x:row r="141">
      <x:c r="K141" s="17" t="str">
        <x:f>IF($B141="","",IF(COUNTIF('共享事件'!$A$2:$A$301,$B141)&lt;&gt;1,"事件ID缺失或重复",INDEX('共享事件'!$A$2:$M$301,MATCH($B141,'共享事件'!$A$2:$A$301,0),2)))</x:f>
      </x:c>
      <x:c r="L141" s="18" t="str">
        <x:f>IF($B141="","",IF(COUNTIF('共享事件'!$A$2:$A$301,$B141)&lt;&gt;1,"事件ID缺失或重复",INDEX('共享事件'!$A$2:$M$301,MATCH($B141,'共享事件'!$A$2:$A$301,0),3)))</x:f>
      </x:c>
      <x:c r="M141" s="18" t="str">
        <x:f>IF($B141="","",IF(COUNTIF('共享事件'!$A$2:$A$301,$B141)&lt;&gt;1,"事件ID缺失或重复",INDEX('共享事件'!$A$2:$M$301,MATCH($B141,'共享事件'!$A$2:$A$301,0),4)))</x:f>
      </x:c>
      <x:c r="N141" s="17" t="str">
        <x:f>IF($B141="","",IF(COUNTIF('共享事件'!$A$2:$A$301,$B141)&lt;&gt;1,"事件ID缺失或重复",INDEX('共享事件'!$A$2:$M$301,MATCH($B141,'共享事件'!$A$2:$A$301,0),7)))</x:f>
      </x:c>
      <x:c r="O141" s="17" t="n">
        <x:f>IF($A141="",0,IF(AND($C141='季度总览'!$D$3,$L141='季度总览'!$B$3,OR('季度总览'!$F$3="全部",$D141='季度总览'!$F$3,$D141="全国",$D141="全球")),1,0))</x:f>
        <x:v>0</x:v>
      </x:c>
      <x:c r="P141" s="17" t="str">
        <x:f>IF($A141="","",$K141&amp;"【"&amp;$N141&amp;"】"&amp;CHAR(10)&amp;$D141&amp;"："&amp;$G141)</x:f>
      </x:c>
    </x:row>
    <x:row r="142">
      <x:c r="K142" s="17" t="str">
        <x:f>IF($B142="","",IF(COUNTIF('共享事件'!$A$2:$A$301,$B142)&lt;&gt;1,"事件ID缺失或重复",INDEX('共享事件'!$A$2:$M$301,MATCH($B142,'共享事件'!$A$2:$A$301,0),2)))</x:f>
      </x:c>
      <x:c r="L142" s="18" t="str">
        <x:f>IF($B142="","",IF(COUNTIF('共享事件'!$A$2:$A$301,$B142)&lt;&gt;1,"事件ID缺失或重复",INDEX('共享事件'!$A$2:$M$301,MATCH($B142,'共享事件'!$A$2:$A$301,0),3)))</x:f>
      </x:c>
      <x:c r="M142" s="18" t="str">
        <x:f>IF($B142="","",IF(COUNTIF('共享事件'!$A$2:$A$301,$B142)&lt;&gt;1,"事件ID缺失或重复",INDEX('共享事件'!$A$2:$M$301,MATCH($B142,'共享事件'!$A$2:$A$301,0),4)))</x:f>
      </x:c>
      <x:c r="N142" s="17" t="str">
        <x:f>IF($B142="","",IF(COUNTIF('共享事件'!$A$2:$A$301,$B142)&lt;&gt;1,"事件ID缺失或重复",INDEX('共享事件'!$A$2:$M$301,MATCH($B142,'共享事件'!$A$2:$A$301,0),7)))</x:f>
      </x:c>
      <x:c r="O142" s="17" t="n">
        <x:f>IF($A142="",0,IF(AND($C142='季度总览'!$D$3,$L142='季度总览'!$B$3,OR('季度总览'!$F$3="全部",$D142='季度总览'!$F$3,$D142="全国",$D142="全球")),1,0))</x:f>
        <x:v>0</x:v>
      </x:c>
      <x:c r="P142" s="17" t="str">
        <x:f>IF($A142="","",$K142&amp;"【"&amp;$N142&amp;"】"&amp;CHAR(10)&amp;$D142&amp;"："&amp;$G142)</x:f>
      </x:c>
    </x:row>
    <x:row r="143">
      <x:c r="K143" s="17" t="str">
        <x:f>IF($B143="","",IF(COUNTIF('共享事件'!$A$2:$A$301,$B143)&lt;&gt;1,"事件ID缺失或重复",INDEX('共享事件'!$A$2:$M$301,MATCH($B143,'共享事件'!$A$2:$A$301,0),2)))</x:f>
      </x:c>
      <x:c r="L143" s="18" t="str">
        <x:f>IF($B143="","",IF(COUNTIF('共享事件'!$A$2:$A$301,$B143)&lt;&gt;1,"事件ID缺失或重复",INDEX('共享事件'!$A$2:$M$301,MATCH($B143,'共享事件'!$A$2:$A$301,0),3)))</x:f>
      </x:c>
      <x:c r="M143" s="18" t="str">
        <x:f>IF($B143="","",IF(COUNTIF('共享事件'!$A$2:$A$301,$B143)&lt;&gt;1,"事件ID缺失或重复",INDEX('共享事件'!$A$2:$M$301,MATCH($B143,'共享事件'!$A$2:$A$301,0),4)))</x:f>
      </x:c>
      <x:c r="N143" s="17" t="str">
        <x:f>IF($B143="","",IF(COUNTIF('共享事件'!$A$2:$A$301,$B143)&lt;&gt;1,"事件ID缺失或重复",INDEX('共享事件'!$A$2:$M$301,MATCH($B143,'共享事件'!$A$2:$A$301,0),7)))</x:f>
      </x:c>
      <x:c r="O143" s="17" t="n">
        <x:f>IF($A143="",0,IF(AND($C143='季度总览'!$D$3,$L143='季度总览'!$B$3,OR('季度总览'!$F$3="全部",$D143='季度总览'!$F$3,$D143="全国",$D143="全球")),1,0))</x:f>
        <x:v>0</x:v>
      </x:c>
      <x:c r="P143" s="17" t="str">
        <x:f>IF($A143="","",$K143&amp;"【"&amp;$N143&amp;"】"&amp;CHAR(10)&amp;$D143&amp;"："&amp;$G143)</x:f>
      </x:c>
    </x:row>
    <x:row r="144">
      <x:c r="K144" s="17" t="str">
        <x:f>IF($B144="","",IF(COUNTIF('共享事件'!$A$2:$A$301,$B144)&lt;&gt;1,"事件ID缺失或重复",INDEX('共享事件'!$A$2:$M$301,MATCH($B144,'共享事件'!$A$2:$A$301,0),2)))</x:f>
      </x:c>
      <x:c r="L144" s="18" t="str">
        <x:f>IF($B144="","",IF(COUNTIF('共享事件'!$A$2:$A$301,$B144)&lt;&gt;1,"事件ID缺失或重复",INDEX('共享事件'!$A$2:$M$301,MATCH($B144,'共享事件'!$A$2:$A$301,0),3)))</x:f>
      </x:c>
      <x:c r="M144" s="18" t="str">
        <x:f>IF($B144="","",IF(COUNTIF('共享事件'!$A$2:$A$301,$B144)&lt;&gt;1,"事件ID缺失或重复",INDEX('共享事件'!$A$2:$M$301,MATCH($B144,'共享事件'!$A$2:$A$301,0),4)))</x:f>
      </x:c>
      <x:c r="N144" s="17" t="str">
        <x:f>IF($B144="","",IF(COUNTIF('共享事件'!$A$2:$A$301,$B144)&lt;&gt;1,"事件ID缺失或重复",INDEX('共享事件'!$A$2:$M$301,MATCH($B144,'共享事件'!$A$2:$A$301,0),7)))</x:f>
      </x:c>
      <x:c r="O144" s="17" t="n">
        <x:f>IF($A144="",0,IF(AND($C144='季度总览'!$D$3,$L144='季度总览'!$B$3,OR('季度总览'!$F$3="全部",$D144='季度总览'!$F$3,$D144="全国",$D144="全球")),1,0))</x:f>
        <x:v>0</x:v>
      </x:c>
      <x:c r="P144" s="17" t="str">
        <x:f>IF($A144="","",$K144&amp;"【"&amp;$N144&amp;"】"&amp;CHAR(10)&amp;$D144&amp;"："&amp;$G144)</x:f>
      </x:c>
    </x:row>
    <x:row r="145">
      <x:c r="K145" s="17" t="str">
        <x:f>IF($B145="","",IF(COUNTIF('共享事件'!$A$2:$A$301,$B145)&lt;&gt;1,"事件ID缺失或重复",INDEX('共享事件'!$A$2:$M$301,MATCH($B145,'共享事件'!$A$2:$A$301,0),2)))</x:f>
      </x:c>
      <x:c r="L145" s="18" t="str">
        <x:f>IF($B145="","",IF(COUNTIF('共享事件'!$A$2:$A$301,$B145)&lt;&gt;1,"事件ID缺失或重复",INDEX('共享事件'!$A$2:$M$301,MATCH($B145,'共享事件'!$A$2:$A$301,0),3)))</x:f>
      </x:c>
      <x:c r="M145" s="18" t="str">
        <x:f>IF($B145="","",IF(COUNTIF('共享事件'!$A$2:$A$301,$B145)&lt;&gt;1,"事件ID缺失或重复",INDEX('共享事件'!$A$2:$M$301,MATCH($B145,'共享事件'!$A$2:$A$301,0),4)))</x:f>
      </x:c>
      <x:c r="N145" s="17" t="str">
        <x:f>IF($B145="","",IF(COUNTIF('共享事件'!$A$2:$A$301,$B145)&lt;&gt;1,"事件ID缺失或重复",INDEX('共享事件'!$A$2:$M$301,MATCH($B145,'共享事件'!$A$2:$A$301,0),7)))</x:f>
      </x:c>
      <x:c r="O145" s="17" t="n">
        <x:f>IF($A145="",0,IF(AND($C145='季度总览'!$D$3,$L145='季度总览'!$B$3,OR('季度总览'!$F$3="全部",$D145='季度总览'!$F$3,$D145="全国",$D145="全球")),1,0))</x:f>
        <x:v>0</x:v>
      </x:c>
      <x:c r="P145" s="17" t="str">
        <x:f>IF($A145="","",$K145&amp;"【"&amp;$N145&amp;"】"&amp;CHAR(10)&amp;$D145&amp;"："&amp;$G145)</x:f>
      </x:c>
    </x:row>
    <x:row r="146">
      <x:c r="K146" s="17" t="str">
        <x:f>IF($B146="","",IF(COUNTIF('共享事件'!$A$2:$A$301,$B146)&lt;&gt;1,"事件ID缺失或重复",INDEX('共享事件'!$A$2:$M$301,MATCH($B146,'共享事件'!$A$2:$A$301,0),2)))</x:f>
      </x:c>
      <x:c r="L146" s="18" t="str">
        <x:f>IF($B146="","",IF(COUNTIF('共享事件'!$A$2:$A$301,$B146)&lt;&gt;1,"事件ID缺失或重复",INDEX('共享事件'!$A$2:$M$301,MATCH($B146,'共享事件'!$A$2:$A$301,0),3)))</x:f>
      </x:c>
      <x:c r="M146" s="18" t="str">
        <x:f>IF($B146="","",IF(COUNTIF('共享事件'!$A$2:$A$301,$B146)&lt;&gt;1,"事件ID缺失或重复",INDEX('共享事件'!$A$2:$M$301,MATCH($B146,'共享事件'!$A$2:$A$301,0),4)))</x:f>
      </x:c>
      <x:c r="N146" s="17" t="str">
        <x:f>IF($B146="","",IF(COUNTIF('共享事件'!$A$2:$A$301,$B146)&lt;&gt;1,"事件ID缺失或重复",INDEX('共享事件'!$A$2:$M$301,MATCH($B146,'共享事件'!$A$2:$A$301,0),7)))</x:f>
      </x:c>
      <x:c r="O146" s="17" t="n">
        <x:f>IF($A146="",0,IF(AND($C146='季度总览'!$D$3,$L146='季度总览'!$B$3,OR('季度总览'!$F$3="全部",$D146='季度总览'!$F$3,$D146="全国",$D146="全球")),1,0))</x:f>
        <x:v>0</x:v>
      </x:c>
      <x:c r="P146" s="17" t="str">
        <x:f>IF($A146="","",$K146&amp;"【"&amp;$N146&amp;"】"&amp;CHAR(10)&amp;$D146&amp;"："&amp;$G146)</x:f>
      </x:c>
    </x:row>
    <x:row r="147">
      <x:c r="K147" s="17" t="str">
        <x:f>IF($B147="","",IF(COUNTIF('共享事件'!$A$2:$A$301,$B147)&lt;&gt;1,"事件ID缺失或重复",INDEX('共享事件'!$A$2:$M$301,MATCH($B147,'共享事件'!$A$2:$A$301,0),2)))</x:f>
      </x:c>
      <x:c r="L147" s="18" t="str">
        <x:f>IF($B147="","",IF(COUNTIF('共享事件'!$A$2:$A$301,$B147)&lt;&gt;1,"事件ID缺失或重复",INDEX('共享事件'!$A$2:$M$301,MATCH($B147,'共享事件'!$A$2:$A$301,0),3)))</x:f>
      </x:c>
      <x:c r="M147" s="18" t="str">
        <x:f>IF($B147="","",IF(COUNTIF('共享事件'!$A$2:$A$301,$B147)&lt;&gt;1,"事件ID缺失或重复",INDEX('共享事件'!$A$2:$M$301,MATCH($B147,'共享事件'!$A$2:$A$301,0),4)))</x:f>
      </x:c>
      <x:c r="N147" s="17" t="str">
        <x:f>IF($B147="","",IF(COUNTIF('共享事件'!$A$2:$A$301,$B147)&lt;&gt;1,"事件ID缺失或重复",INDEX('共享事件'!$A$2:$M$301,MATCH($B147,'共享事件'!$A$2:$A$301,0),7)))</x:f>
      </x:c>
      <x:c r="O147" s="17" t="n">
        <x:f>IF($A147="",0,IF(AND($C147='季度总览'!$D$3,$L147='季度总览'!$B$3,OR('季度总览'!$F$3="全部",$D147='季度总览'!$F$3,$D147="全国",$D147="全球")),1,0))</x:f>
        <x:v>0</x:v>
      </x:c>
      <x:c r="P147" s="17" t="str">
        <x:f>IF($A147="","",$K147&amp;"【"&amp;$N147&amp;"】"&amp;CHAR(10)&amp;$D147&amp;"："&amp;$G147)</x:f>
      </x:c>
    </x:row>
    <x:row r="148">
      <x:c r="K148" s="17" t="str">
        <x:f>IF($B148="","",IF(COUNTIF('共享事件'!$A$2:$A$301,$B148)&lt;&gt;1,"事件ID缺失或重复",INDEX('共享事件'!$A$2:$M$301,MATCH($B148,'共享事件'!$A$2:$A$301,0),2)))</x:f>
      </x:c>
      <x:c r="L148" s="18" t="str">
        <x:f>IF($B148="","",IF(COUNTIF('共享事件'!$A$2:$A$301,$B148)&lt;&gt;1,"事件ID缺失或重复",INDEX('共享事件'!$A$2:$M$301,MATCH($B148,'共享事件'!$A$2:$A$301,0),3)))</x:f>
      </x:c>
      <x:c r="M148" s="18" t="str">
        <x:f>IF($B148="","",IF(COUNTIF('共享事件'!$A$2:$A$301,$B148)&lt;&gt;1,"事件ID缺失或重复",INDEX('共享事件'!$A$2:$M$301,MATCH($B148,'共享事件'!$A$2:$A$301,0),4)))</x:f>
      </x:c>
      <x:c r="N148" s="17" t="str">
        <x:f>IF($B148="","",IF(COUNTIF('共享事件'!$A$2:$A$301,$B148)&lt;&gt;1,"事件ID缺失或重复",INDEX('共享事件'!$A$2:$M$301,MATCH($B148,'共享事件'!$A$2:$A$301,0),7)))</x:f>
      </x:c>
      <x:c r="O148" s="17" t="n">
        <x:f>IF($A148="",0,IF(AND($C148='季度总览'!$D$3,$L148='季度总览'!$B$3,OR('季度总览'!$F$3="全部",$D148='季度总览'!$F$3,$D148="全国",$D148="全球")),1,0))</x:f>
        <x:v>0</x:v>
      </x:c>
      <x:c r="P148" s="17" t="str">
        <x:f>IF($A148="","",$K148&amp;"【"&amp;$N148&amp;"】"&amp;CHAR(10)&amp;$D148&amp;"："&amp;$G148)</x:f>
      </x:c>
    </x:row>
    <x:row r="149">
      <x:c r="K149" s="17" t="str">
        <x:f>IF($B149="","",IF(COUNTIF('共享事件'!$A$2:$A$301,$B149)&lt;&gt;1,"事件ID缺失或重复",INDEX('共享事件'!$A$2:$M$301,MATCH($B149,'共享事件'!$A$2:$A$301,0),2)))</x:f>
      </x:c>
      <x:c r="L149" s="18" t="str">
        <x:f>IF($B149="","",IF(COUNTIF('共享事件'!$A$2:$A$301,$B149)&lt;&gt;1,"事件ID缺失或重复",INDEX('共享事件'!$A$2:$M$301,MATCH($B149,'共享事件'!$A$2:$A$301,0),3)))</x:f>
      </x:c>
      <x:c r="M149" s="18" t="str">
        <x:f>IF($B149="","",IF(COUNTIF('共享事件'!$A$2:$A$301,$B149)&lt;&gt;1,"事件ID缺失或重复",INDEX('共享事件'!$A$2:$M$301,MATCH($B149,'共享事件'!$A$2:$A$301,0),4)))</x:f>
      </x:c>
      <x:c r="N149" s="17" t="str">
        <x:f>IF($B149="","",IF(COUNTIF('共享事件'!$A$2:$A$301,$B149)&lt;&gt;1,"事件ID缺失或重复",INDEX('共享事件'!$A$2:$M$301,MATCH($B149,'共享事件'!$A$2:$A$301,0),7)))</x:f>
      </x:c>
      <x:c r="O149" s="17" t="n">
        <x:f>IF($A149="",0,IF(AND($C149='季度总览'!$D$3,$L149='季度总览'!$B$3,OR('季度总览'!$F$3="全部",$D149='季度总览'!$F$3,$D149="全国",$D149="全球")),1,0))</x:f>
        <x:v>0</x:v>
      </x:c>
      <x:c r="P149" s="17" t="str">
        <x:f>IF($A149="","",$K149&amp;"【"&amp;$N149&amp;"】"&amp;CHAR(10)&amp;$D149&amp;"："&amp;$G149)</x:f>
      </x:c>
    </x:row>
    <x:row r="150">
      <x:c r="K150" s="17" t="str">
        <x:f>IF($B150="","",IF(COUNTIF('共享事件'!$A$2:$A$301,$B150)&lt;&gt;1,"事件ID缺失或重复",INDEX('共享事件'!$A$2:$M$301,MATCH($B150,'共享事件'!$A$2:$A$301,0),2)))</x:f>
      </x:c>
      <x:c r="L150" s="18" t="str">
        <x:f>IF($B150="","",IF(COUNTIF('共享事件'!$A$2:$A$301,$B150)&lt;&gt;1,"事件ID缺失或重复",INDEX('共享事件'!$A$2:$M$301,MATCH($B150,'共享事件'!$A$2:$A$301,0),3)))</x:f>
      </x:c>
      <x:c r="M150" s="18" t="str">
        <x:f>IF($B150="","",IF(COUNTIF('共享事件'!$A$2:$A$301,$B150)&lt;&gt;1,"事件ID缺失或重复",INDEX('共享事件'!$A$2:$M$301,MATCH($B150,'共享事件'!$A$2:$A$301,0),4)))</x:f>
      </x:c>
      <x:c r="N150" s="17" t="str">
        <x:f>IF($B150="","",IF(COUNTIF('共享事件'!$A$2:$A$301,$B150)&lt;&gt;1,"事件ID缺失或重复",INDEX('共享事件'!$A$2:$M$301,MATCH($B150,'共享事件'!$A$2:$A$301,0),7)))</x:f>
      </x:c>
      <x:c r="O150" s="17" t="n">
        <x:f>IF($A150="",0,IF(AND($C150='季度总览'!$D$3,$L150='季度总览'!$B$3,OR('季度总览'!$F$3="全部",$D150='季度总览'!$F$3,$D150="全国",$D150="全球")),1,0))</x:f>
        <x:v>0</x:v>
      </x:c>
      <x:c r="P150" s="17" t="str">
        <x:f>IF($A150="","",$K150&amp;"【"&amp;$N150&amp;"】"&amp;CHAR(10)&amp;$D150&amp;"："&amp;$G150)</x:f>
      </x:c>
    </x:row>
    <x:row r="151">
      <x:c r="K151" s="17" t="str">
        <x:f>IF($B151="","",IF(COUNTIF('共享事件'!$A$2:$A$301,$B151)&lt;&gt;1,"事件ID缺失或重复",INDEX('共享事件'!$A$2:$M$301,MATCH($B151,'共享事件'!$A$2:$A$301,0),2)))</x:f>
      </x:c>
      <x:c r="L151" s="18" t="str">
        <x:f>IF($B151="","",IF(COUNTIF('共享事件'!$A$2:$A$301,$B151)&lt;&gt;1,"事件ID缺失或重复",INDEX('共享事件'!$A$2:$M$301,MATCH($B151,'共享事件'!$A$2:$A$301,0),3)))</x:f>
      </x:c>
      <x:c r="M151" s="18" t="str">
        <x:f>IF($B151="","",IF(COUNTIF('共享事件'!$A$2:$A$301,$B151)&lt;&gt;1,"事件ID缺失或重复",INDEX('共享事件'!$A$2:$M$301,MATCH($B151,'共享事件'!$A$2:$A$301,0),4)))</x:f>
      </x:c>
      <x:c r="N151" s="17" t="str">
        <x:f>IF($B151="","",IF(COUNTIF('共享事件'!$A$2:$A$301,$B151)&lt;&gt;1,"事件ID缺失或重复",INDEX('共享事件'!$A$2:$M$301,MATCH($B151,'共享事件'!$A$2:$A$301,0),7)))</x:f>
      </x:c>
      <x:c r="O151" s="17" t="n">
        <x:f>IF($A151="",0,IF(AND($C151='季度总览'!$D$3,$L151='季度总览'!$B$3,OR('季度总览'!$F$3="全部",$D151='季度总览'!$F$3,$D151="全国",$D151="全球")),1,0))</x:f>
        <x:v>0</x:v>
      </x:c>
      <x:c r="P151" s="17" t="str">
        <x:f>IF($A151="","",$K151&amp;"【"&amp;$N151&amp;"】"&amp;CHAR(10)&amp;$D151&amp;"："&amp;$G151)</x:f>
      </x:c>
    </x:row>
    <x:row r="152">
      <x:c r="K152" s="17" t="str">
        <x:f>IF($B152="","",IF(COUNTIF('共享事件'!$A$2:$A$301,$B152)&lt;&gt;1,"事件ID缺失或重复",INDEX('共享事件'!$A$2:$M$301,MATCH($B152,'共享事件'!$A$2:$A$301,0),2)))</x:f>
      </x:c>
      <x:c r="L152" s="18" t="str">
        <x:f>IF($B152="","",IF(COUNTIF('共享事件'!$A$2:$A$301,$B152)&lt;&gt;1,"事件ID缺失或重复",INDEX('共享事件'!$A$2:$M$301,MATCH($B152,'共享事件'!$A$2:$A$301,0),3)))</x:f>
      </x:c>
      <x:c r="M152" s="18" t="str">
        <x:f>IF($B152="","",IF(COUNTIF('共享事件'!$A$2:$A$301,$B152)&lt;&gt;1,"事件ID缺失或重复",INDEX('共享事件'!$A$2:$M$301,MATCH($B152,'共享事件'!$A$2:$A$301,0),4)))</x:f>
      </x:c>
      <x:c r="N152" s="17" t="str">
        <x:f>IF($B152="","",IF(COUNTIF('共享事件'!$A$2:$A$301,$B152)&lt;&gt;1,"事件ID缺失或重复",INDEX('共享事件'!$A$2:$M$301,MATCH($B152,'共享事件'!$A$2:$A$301,0),7)))</x:f>
      </x:c>
      <x:c r="O152" s="17" t="n">
        <x:f>IF($A152="",0,IF(AND($C152='季度总览'!$D$3,$L152='季度总览'!$B$3,OR('季度总览'!$F$3="全部",$D152='季度总览'!$F$3,$D152="全国",$D152="全球")),1,0))</x:f>
        <x:v>0</x:v>
      </x:c>
      <x:c r="P152" s="17" t="str">
        <x:f>IF($A152="","",$K152&amp;"【"&amp;$N152&amp;"】"&amp;CHAR(10)&amp;$D152&amp;"："&amp;$G152)</x:f>
      </x:c>
    </x:row>
    <x:row r="153">
      <x:c r="K153" s="17" t="str">
        <x:f>IF($B153="","",IF(COUNTIF('共享事件'!$A$2:$A$301,$B153)&lt;&gt;1,"事件ID缺失或重复",INDEX('共享事件'!$A$2:$M$301,MATCH($B153,'共享事件'!$A$2:$A$301,0),2)))</x:f>
      </x:c>
      <x:c r="L153" s="18" t="str">
        <x:f>IF($B153="","",IF(COUNTIF('共享事件'!$A$2:$A$301,$B153)&lt;&gt;1,"事件ID缺失或重复",INDEX('共享事件'!$A$2:$M$301,MATCH($B153,'共享事件'!$A$2:$A$301,0),3)))</x:f>
      </x:c>
      <x:c r="M153" s="18" t="str">
        <x:f>IF($B153="","",IF(COUNTIF('共享事件'!$A$2:$A$301,$B153)&lt;&gt;1,"事件ID缺失或重复",INDEX('共享事件'!$A$2:$M$301,MATCH($B153,'共享事件'!$A$2:$A$301,0),4)))</x:f>
      </x:c>
      <x:c r="N153" s="17" t="str">
        <x:f>IF($B153="","",IF(COUNTIF('共享事件'!$A$2:$A$301,$B153)&lt;&gt;1,"事件ID缺失或重复",INDEX('共享事件'!$A$2:$M$301,MATCH($B153,'共享事件'!$A$2:$A$301,0),7)))</x:f>
      </x:c>
      <x:c r="O153" s="17" t="n">
        <x:f>IF($A153="",0,IF(AND($C153='季度总览'!$D$3,$L153='季度总览'!$B$3,OR('季度总览'!$F$3="全部",$D153='季度总览'!$F$3,$D153="全国",$D153="全球")),1,0))</x:f>
        <x:v>0</x:v>
      </x:c>
      <x:c r="P153" s="17" t="str">
        <x:f>IF($A153="","",$K153&amp;"【"&amp;$N153&amp;"】"&amp;CHAR(10)&amp;$D153&amp;"："&amp;$G153)</x:f>
      </x:c>
    </x:row>
    <x:row r="154">
      <x:c r="K154" s="17" t="str">
        <x:f>IF($B154="","",IF(COUNTIF('共享事件'!$A$2:$A$301,$B154)&lt;&gt;1,"事件ID缺失或重复",INDEX('共享事件'!$A$2:$M$301,MATCH($B154,'共享事件'!$A$2:$A$301,0),2)))</x:f>
      </x:c>
      <x:c r="L154" s="18" t="str">
        <x:f>IF($B154="","",IF(COUNTIF('共享事件'!$A$2:$A$301,$B154)&lt;&gt;1,"事件ID缺失或重复",INDEX('共享事件'!$A$2:$M$301,MATCH($B154,'共享事件'!$A$2:$A$301,0),3)))</x:f>
      </x:c>
      <x:c r="M154" s="18" t="str">
        <x:f>IF($B154="","",IF(COUNTIF('共享事件'!$A$2:$A$301,$B154)&lt;&gt;1,"事件ID缺失或重复",INDEX('共享事件'!$A$2:$M$301,MATCH($B154,'共享事件'!$A$2:$A$301,0),4)))</x:f>
      </x:c>
      <x:c r="N154" s="17" t="str">
        <x:f>IF($B154="","",IF(COUNTIF('共享事件'!$A$2:$A$301,$B154)&lt;&gt;1,"事件ID缺失或重复",INDEX('共享事件'!$A$2:$M$301,MATCH($B154,'共享事件'!$A$2:$A$301,0),7)))</x:f>
      </x:c>
      <x:c r="O154" s="17" t="n">
        <x:f>IF($A154="",0,IF(AND($C154='季度总览'!$D$3,$L154='季度总览'!$B$3,OR('季度总览'!$F$3="全部",$D154='季度总览'!$F$3,$D154="全国",$D154="全球")),1,0))</x:f>
        <x:v>0</x:v>
      </x:c>
      <x:c r="P154" s="17" t="str">
        <x:f>IF($A154="","",$K154&amp;"【"&amp;$N154&amp;"】"&amp;CHAR(10)&amp;$D154&amp;"："&amp;$G154)</x:f>
      </x:c>
    </x:row>
    <x:row r="155">
      <x:c r="K155" s="17" t="str">
        <x:f>IF($B155="","",IF(COUNTIF('共享事件'!$A$2:$A$301,$B155)&lt;&gt;1,"事件ID缺失或重复",INDEX('共享事件'!$A$2:$M$301,MATCH($B155,'共享事件'!$A$2:$A$301,0),2)))</x:f>
      </x:c>
      <x:c r="L155" s="18" t="str">
        <x:f>IF($B155="","",IF(COUNTIF('共享事件'!$A$2:$A$301,$B155)&lt;&gt;1,"事件ID缺失或重复",INDEX('共享事件'!$A$2:$M$301,MATCH($B155,'共享事件'!$A$2:$A$301,0),3)))</x:f>
      </x:c>
      <x:c r="M155" s="18" t="str">
        <x:f>IF($B155="","",IF(COUNTIF('共享事件'!$A$2:$A$301,$B155)&lt;&gt;1,"事件ID缺失或重复",INDEX('共享事件'!$A$2:$M$301,MATCH($B155,'共享事件'!$A$2:$A$301,0),4)))</x:f>
      </x:c>
      <x:c r="N155" s="17" t="str">
        <x:f>IF($B155="","",IF(COUNTIF('共享事件'!$A$2:$A$301,$B155)&lt;&gt;1,"事件ID缺失或重复",INDEX('共享事件'!$A$2:$M$301,MATCH($B155,'共享事件'!$A$2:$A$301,0),7)))</x:f>
      </x:c>
      <x:c r="O155" s="17" t="n">
        <x:f>IF($A155="",0,IF(AND($C155='季度总览'!$D$3,$L155='季度总览'!$B$3,OR('季度总览'!$F$3="全部",$D155='季度总览'!$F$3,$D155="全国",$D155="全球")),1,0))</x:f>
        <x:v>0</x:v>
      </x:c>
      <x:c r="P155" s="17" t="str">
        <x:f>IF($A155="","",$K155&amp;"【"&amp;$N155&amp;"】"&amp;CHAR(10)&amp;$D155&amp;"："&amp;$G155)</x:f>
      </x:c>
    </x:row>
    <x:row r="156">
      <x:c r="K156" s="17" t="str">
        <x:f>IF($B156="","",IF(COUNTIF('共享事件'!$A$2:$A$301,$B156)&lt;&gt;1,"事件ID缺失或重复",INDEX('共享事件'!$A$2:$M$301,MATCH($B156,'共享事件'!$A$2:$A$301,0),2)))</x:f>
      </x:c>
      <x:c r="L156" s="18" t="str">
        <x:f>IF($B156="","",IF(COUNTIF('共享事件'!$A$2:$A$301,$B156)&lt;&gt;1,"事件ID缺失或重复",INDEX('共享事件'!$A$2:$M$301,MATCH($B156,'共享事件'!$A$2:$A$301,0),3)))</x:f>
      </x:c>
      <x:c r="M156" s="18" t="str">
        <x:f>IF($B156="","",IF(COUNTIF('共享事件'!$A$2:$A$301,$B156)&lt;&gt;1,"事件ID缺失或重复",INDEX('共享事件'!$A$2:$M$301,MATCH($B156,'共享事件'!$A$2:$A$301,0),4)))</x:f>
      </x:c>
      <x:c r="N156" s="17" t="str">
        <x:f>IF($B156="","",IF(COUNTIF('共享事件'!$A$2:$A$301,$B156)&lt;&gt;1,"事件ID缺失或重复",INDEX('共享事件'!$A$2:$M$301,MATCH($B156,'共享事件'!$A$2:$A$301,0),7)))</x:f>
      </x:c>
      <x:c r="O156" s="17" t="n">
        <x:f>IF($A156="",0,IF(AND($C156='季度总览'!$D$3,$L156='季度总览'!$B$3,OR('季度总览'!$F$3="全部",$D156='季度总览'!$F$3,$D156="全国",$D156="全球")),1,0))</x:f>
        <x:v>0</x:v>
      </x:c>
      <x:c r="P156" s="17" t="str">
        <x:f>IF($A156="","",$K156&amp;"【"&amp;$N156&amp;"】"&amp;CHAR(10)&amp;$D156&amp;"："&amp;$G156)</x:f>
      </x:c>
    </x:row>
    <x:row r="157">
      <x:c r="K157" s="17" t="str">
        <x:f>IF($B157="","",IF(COUNTIF('共享事件'!$A$2:$A$301,$B157)&lt;&gt;1,"事件ID缺失或重复",INDEX('共享事件'!$A$2:$M$301,MATCH($B157,'共享事件'!$A$2:$A$301,0),2)))</x:f>
      </x:c>
      <x:c r="L157" s="18" t="str">
        <x:f>IF($B157="","",IF(COUNTIF('共享事件'!$A$2:$A$301,$B157)&lt;&gt;1,"事件ID缺失或重复",INDEX('共享事件'!$A$2:$M$301,MATCH($B157,'共享事件'!$A$2:$A$301,0),3)))</x:f>
      </x:c>
      <x:c r="M157" s="18" t="str">
        <x:f>IF($B157="","",IF(COUNTIF('共享事件'!$A$2:$A$301,$B157)&lt;&gt;1,"事件ID缺失或重复",INDEX('共享事件'!$A$2:$M$301,MATCH($B157,'共享事件'!$A$2:$A$301,0),4)))</x:f>
      </x:c>
      <x:c r="N157" s="17" t="str">
        <x:f>IF($B157="","",IF(COUNTIF('共享事件'!$A$2:$A$301,$B157)&lt;&gt;1,"事件ID缺失或重复",INDEX('共享事件'!$A$2:$M$301,MATCH($B157,'共享事件'!$A$2:$A$301,0),7)))</x:f>
      </x:c>
      <x:c r="O157" s="17" t="n">
        <x:f>IF($A157="",0,IF(AND($C157='季度总览'!$D$3,$L157='季度总览'!$B$3,OR('季度总览'!$F$3="全部",$D157='季度总览'!$F$3,$D157="全国",$D157="全球")),1,0))</x:f>
        <x:v>0</x:v>
      </x:c>
      <x:c r="P157" s="17" t="str">
        <x:f>IF($A157="","",$K157&amp;"【"&amp;$N157&amp;"】"&amp;CHAR(10)&amp;$D157&amp;"："&amp;$G157)</x:f>
      </x:c>
    </x:row>
    <x:row r="158">
      <x:c r="K158" s="17" t="str">
        <x:f>IF($B158="","",IF(COUNTIF('共享事件'!$A$2:$A$301,$B158)&lt;&gt;1,"事件ID缺失或重复",INDEX('共享事件'!$A$2:$M$301,MATCH($B158,'共享事件'!$A$2:$A$301,0),2)))</x:f>
      </x:c>
      <x:c r="L158" s="18" t="str">
        <x:f>IF($B158="","",IF(COUNTIF('共享事件'!$A$2:$A$301,$B158)&lt;&gt;1,"事件ID缺失或重复",INDEX('共享事件'!$A$2:$M$301,MATCH($B158,'共享事件'!$A$2:$A$301,0),3)))</x:f>
      </x:c>
      <x:c r="M158" s="18" t="str">
        <x:f>IF($B158="","",IF(COUNTIF('共享事件'!$A$2:$A$301,$B158)&lt;&gt;1,"事件ID缺失或重复",INDEX('共享事件'!$A$2:$M$301,MATCH($B158,'共享事件'!$A$2:$A$301,0),4)))</x:f>
      </x:c>
      <x:c r="N158" s="17" t="str">
        <x:f>IF($B158="","",IF(COUNTIF('共享事件'!$A$2:$A$301,$B158)&lt;&gt;1,"事件ID缺失或重复",INDEX('共享事件'!$A$2:$M$301,MATCH($B158,'共享事件'!$A$2:$A$301,0),7)))</x:f>
      </x:c>
      <x:c r="O158" s="17" t="n">
        <x:f>IF($A158="",0,IF(AND($C158='季度总览'!$D$3,$L158='季度总览'!$B$3,OR('季度总览'!$F$3="全部",$D158='季度总览'!$F$3,$D158="全国",$D158="全球")),1,0))</x:f>
        <x:v>0</x:v>
      </x:c>
      <x:c r="P158" s="17" t="str">
        <x:f>IF($A158="","",$K158&amp;"【"&amp;$N158&amp;"】"&amp;CHAR(10)&amp;$D158&amp;"："&amp;$G158)</x:f>
      </x:c>
    </x:row>
    <x:row r="159">
      <x:c r="K159" s="17" t="str">
        <x:f>IF($B159="","",IF(COUNTIF('共享事件'!$A$2:$A$301,$B159)&lt;&gt;1,"事件ID缺失或重复",INDEX('共享事件'!$A$2:$M$301,MATCH($B159,'共享事件'!$A$2:$A$301,0),2)))</x:f>
      </x:c>
      <x:c r="L159" s="18" t="str">
        <x:f>IF($B159="","",IF(COUNTIF('共享事件'!$A$2:$A$301,$B159)&lt;&gt;1,"事件ID缺失或重复",INDEX('共享事件'!$A$2:$M$301,MATCH($B159,'共享事件'!$A$2:$A$301,0),3)))</x:f>
      </x:c>
      <x:c r="M159" s="18" t="str">
        <x:f>IF($B159="","",IF(COUNTIF('共享事件'!$A$2:$A$301,$B159)&lt;&gt;1,"事件ID缺失或重复",INDEX('共享事件'!$A$2:$M$301,MATCH($B159,'共享事件'!$A$2:$A$301,0),4)))</x:f>
      </x:c>
      <x:c r="N159" s="17" t="str">
        <x:f>IF($B159="","",IF(COUNTIF('共享事件'!$A$2:$A$301,$B159)&lt;&gt;1,"事件ID缺失或重复",INDEX('共享事件'!$A$2:$M$301,MATCH($B159,'共享事件'!$A$2:$A$301,0),7)))</x:f>
      </x:c>
      <x:c r="O159" s="17" t="n">
        <x:f>IF($A159="",0,IF(AND($C159='季度总览'!$D$3,$L159='季度总览'!$B$3,OR('季度总览'!$F$3="全部",$D159='季度总览'!$F$3,$D159="全国",$D159="全球")),1,0))</x:f>
        <x:v>0</x:v>
      </x:c>
      <x:c r="P159" s="17" t="str">
        <x:f>IF($A159="","",$K159&amp;"【"&amp;$N159&amp;"】"&amp;CHAR(10)&amp;$D159&amp;"："&amp;$G159)</x:f>
      </x:c>
    </x:row>
    <x:row r="160">
      <x:c r="K160" s="17" t="str">
        <x:f>IF($B160="","",IF(COUNTIF('共享事件'!$A$2:$A$301,$B160)&lt;&gt;1,"事件ID缺失或重复",INDEX('共享事件'!$A$2:$M$301,MATCH($B160,'共享事件'!$A$2:$A$301,0),2)))</x:f>
      </x:c>
      <x:c r="L160" s="18" t="str">
        <x:f>IF($B160="","",IF(COUNTIF('共享事件'!$A$2:$A$301,$B160)&lt;&gt;1,"事件ID缺失或重复",INDEX('共享事件'!$A$2:$M$301,MATCH($B160,'共享事件'!$A$2:$A$301,0),3)))</x:f>
      </x:c>
      <x:c r="M160" s="18" t="str">
        <x:f>IF($B160="","",IF(COUNTIF('共享事件'!$A$2:$A$301,$B160)&lt;&gt;1,"事件ID缺失或重复",INDEX('共享事件'!$A$2:$M$301,MATCH($B160,'共享事件'!$A$2:$A$301,0),4)))</x:f>
      </x:c>
      <x:c r="N160" s="17" t="str">
        <x:f>IF($B160="","",IF(COUNTIF('共享事件'!$A$2:$A$301,$B160)&lt;&gt;1,"事件ID缺失或重复",INDEX('共享事件'!$A$2:$M$301,MATCH($B160,'共享事件'!$A$2:$A$301,0),7)))</x:f>
      </x:c>
      <x:c r="O160" s="17" t="n">
        <x:f>IF($A160="",0,IF(AND($C160='季度总览'!$D$3,$L160='季度总览'!$B$3,OR('季度总览'!$F$3="全部",$D160='季度总览'!$F$3,$D160="全国",$D160="全球")),1,0))</x:f>
        <x:v>0</x:v>
      </x:c>
      <x:c r="P160" s="17" t="str">
        <x:f>IF($A160="","",$K160&amp;"【"&amp;$N160&amp;"】"&amp;CHAR(10)&amp;$D160&amp;"："&amp;$G160)</x:f>
      </x:c>
    </x:row>
    <x:row r="161">
      <x:c r="K161" s="17" t="str">
        <x:f>IF($B161="","",IF(COUNTIF('共享事件'!$A$2:$A$301,$B161)&lt;&gt;1,"事件ID缺失或重复",INDEX('共享事件'!$A$2:$M$301,MATCH($B161,'共享事件'!$A$2:$A$301,0),2)))</x:f>
      </x:c>
      <x:c r="L161" s="18" t="str">
        <x:f>IF($B161="","",IF(COUNTIF('共享事件'!$A$2:$A$301,$B161)&lt;&gt;1,"事件ID缺失或重复",INDEX('共享事件'!$A$2:$M$301,MATCH($B161,'共享事件'!$A$2:$A$301,0),3)))</x:f>
      </x:c>
      <x:c r="M161" s="18" t="str">
        <x:f>IF($B161="","",IF(COUNTIF('共享事件'!$A$2:$A$301,$B161)&lt;&gt;1,"事件ID缺失或重复",INDEX('共享事件'!$A$2:$M$301,MATCH($B161,'共享事件'!$A$2:$A$301,0),4)))</x:f>
      </x:c>
      <x:c r="N161" s="17" t="str">
        <x:f>IF($B161="","",IF(COUNTIF('共享事件'!$A$2:$A$301,$B161)&lt;&gt;1,"事件ID缺失或重复",INDEX('共享事件'!$A$2:$M$301,MATCH($B161,'共享事件'!$A$2:$A$301,0),7)))</x:f>
      </x:c>
      <x:c r="O161" s="17" t="n">
        <x:f>IF($A161="",0,IF(AND($C161='季度总览'!$D$3,$L161='季度总览'!$B$3,OR('季度总览'!$F$3="全部",$D161='季度总览'!$F$3,$D161="全国",$D161="全球")),1,0))</x:f>
        <x:v>0</x:v>
      </x:c>
      <x:c r="P161" s="17" t="str">
        <x:f>IF($A161="","",$K161&amp;"【"&amp;$N161&amp;"】"&amp;CHAR(10)&amp;$D161&amp;"："&amp;$G161)</x:f>
      </x:c>
    </x:row>
    <x:row r="162">
      <x:c r="K162" s="17" t="str">
        <x:f>IF($B162="","",IF(COUNTIF('共享事件'!$A$2:$A$301,$B162)&lt;&gt;1,"事件ID缺失或重复",INDEX('共享事件'!$A$2:$M$301,MATCH($B162,'共享事件'!$A$2:$A$301,0),2)))</x:f>
      </x:c>
      <x:c r="L162" s="18" t="str">
        <x:f>IF($B162="","",IF(COUNTIF('共享事件'!$A$2:$A$301,$B162)&lt;&gt;1,"事件ID缺失或重复",INDEX('共享事件'!$A$2:$M$301,MATCH($B162,'共享事件'!$A$2:$A$301,0),3)))</x:f>
      </x:c>
      <x:c r="M162" s="18" t="str">
        <x:f>IF($B162="","",IF(COUNTIF('共享事件'!$A$2:$A$301,$B162)&lt;&gt;1,"事件ID缺失或重复",INDEX('共享事件'!$A$2:$M$301,MATCH($B162,'共享事件'!$A$2:$A$301,0),4)))</x:f>
      </x:c>
      <x:c r="N162" s="17" t="str">
        <x:f>IF($B162="","",IF(COUNTIF('共享事件'!$A$2:$A$301,$B162)&lt;&gt;1,"事件ID缺失或重复",INDEX('共享事件'!$A$2:$M$301,MATCH($B162,'共享事件'!$A$2:$A$301,0),7)))</x:f>
      </x:c>
      <x:c r="O162" s="17" t="n">
        <x:f>IF($A162="",0,IF(AND($C162='季度总览'!$D$3,$L162='季度总览'!$B$3,OR('季度总览'!$F$3="全部",$D162='季度总览'!$F$3,$D162="全国",$D162="全球")),1,0))</x:f>
        <x:v>0</x:v>
      </x:c>
      <x:c r="P162" s="17" t="str">
        <x:f>IF($A162="","",$K162&amp;"【"&amp;$N162&amp;"】"&amp;CHAR(10)&amp;$D162&amp;"："&amp;$G162)</x:f>
      </x:c>
    </x:row>
    <x:row r="163">
      <x:c r="K163" s="17" t="str">
        <x:f>IF($B163="","",IF(COUNTIF('共享事件'!$A$2:$A$301,$B163)&lt;&gt;1,"事件ID缺失或重复",INDEX('共享事件'!$A$2:$M$301,MATCH($B163,'共享事件'!$A$2:$A$301,0),2)))</x:f>
      </x:c>
      <x:c r="L163" s="18" t="str">
        <x:f>IF($B163="","",IF(COUNTIF('共享事件'!$A$2:$A$301,$B163)&lt;&gt;1,"事件ID缺失或重复",INDEX('共享事件'!$A$2:$M$301,MATCH($B163,'共享事件'!$A$2:$A$301,0),3)))</x:f>
      </x:c>
      <x:c r="M163" s="18" t="str">
        <x:f>IF($B163="","",IF(COUNTIF('共享事件'!$A$2:$A$301,$B163)&lt;&gt;1,"事件ID缺失或重复",INDEX('共享事件'!$A$2:$M$301,MATCH($B163,'共享事件'!$A$2:$A$301,0),4)))</x:f>
      </x:c>
      <x:c r="N163" s="17" t="str">
        <x:f>IF($B163="","",IF(COUNTIF('共享事件'!$A$2:$A$301,$B163)&lt;&gt;1,"事件ID缺失或重复",INDEX('共享事件'!$A$2:$M$301,MATCH($B163,'共享事件'!$A$2:$A$301,0),7)))</x:f>
      </x:c>
      <x:c r="O163" s="17" t="n">
        <x:f>IF($A163="",0,IF(AND($C163='季度总览'!$D$3,$L163='季度总览'!$B$3,OR('季度总览'!$F$3="全部",$D163='季度总览'!$F$3,$D163="全国",$D163="全球")),1,0))</x:f>
        <x:v>0</x:v>
      </x:c>
      <x:c r="P163" s="17" t="str">
        <x:f>IF($A163="","",$K163&amp;"【"&amp;$N163&amp;"】"&amp;CHAR(10)&amp;$D163&amp;"："&amp;$G163)</x:f>
      </x:c>
    </x:row>
    <x:row r="164">
      <x:c r="K164" s="17" t="str">
        <x:f>IF($B164="","",IF(COUNTIF('共享事件'!$A$2:$A$301,$B164)&lt;&gt;1,"事件ID缺失或重复",INDEX('共享事件'!$A$2:$M$301,MATCH($B164,'共享事件'!$A$2:$A$301,0),2)))</x:f>
      </x:c>
      <x:c r="L164" s="18" t="str">
        <x:f>IF($B164="","",IF(COUNTIF('共享事件'!$A$2:$A$301,$B164)&lt;&gt;1,"事件ID缺失或重复",INDEX('共享事件'!$A$2:$M$301,MATCH($B164,'共享事件'!$A$2:$A$301,0),3)))</x:f>
      </x:c>
      <x:c r="M164" s="18" t="str">
        <x:f>IF($B164="","",IF(COUNTIF('共享事件'!$A$2:$A$301,$B164)&lt;&gt;1,"事件ID缺失或重复",INDEX('共享事件'!$A$2:$M$301,MATCH($B164,'共享事件'!$A$2:$A$301,0),4)))</x:f>
      </x:c>
      <x:c r="N164" s="17" t="str">
        <x:f>IF($B164="","",IF(COUNTIF('共享事件'!$A$2:$A$301,$B164)&lt;&gt;1,"事件ID缺失或重复",INDEX('共享事件'!$A$2:$M$301,MATCH($B164,'共享事件'!$A$2:$A$301,0),7)))</x:f>
      </x:c>
      <x:c r="O164" s="17" t="n">
        <x:f>IF($A164="",0,IF(AND($C164='季度总览'!$D$3,$L164='季度总览'!$B$3,OR('季度总览'!$F$3="全部",$D164='季度总览'!$F$3,$D164="全国",$D164="全球")),1,0))</x:f>
        <x:v>0</x:v>
      </x:c>
      <x:c r="P164" s="17" t="str">
        <x:f>IF($A164="","",$K164&amp;"【"&amp;$N164&amp;"】"&amp;CHAR(10)&amp;$D164&amp;"："&amp;$G164)</x:f>
      </x:c>
    </x:row>
    <x:row r="165">
      <x:c r="K165" s="17" t="str">
        <x:f>IF($B165="","",IF(COUNTIF('共享事件'!$A$2:$A$301,$B165)&lt;&gt;1,"事件ID缺失或重复",INDEX('共享事件'!$A$2:$M$301,MATCH($B165,'共享事件'!$A$2:$A$301,0),2)))</x:f>
      </x:c>
      <x:c r="L165" s="18" t="str">
        <x:f>IF($B165="","",IF(COUNTIF('共享事件'!$A$2:$A$301,$B165)&lt;&gt;1,"事件ID缺失或重复",INDEX('共享事件'!$A$2:$M$301,MATCH($B165,'共享事件'!$A$2:$A$301,0),3)))</x:f>
      </x:c>
      <x:c r="M165" s="18" t="str">
        <x:f>IF($B165="","",IF(COUNTIF('共享事件'!$A$2:$A$301,$B165)&lt;&gt;1,"事件ID缺失或重复",INDEX('共享事件'!$A$2:$M$301,MATCH($B165,'共享事件'!$A$2:$A$301,0),4)))</x:f>
      </x:c>
      <x:c r="N165" s="17" t="str">
        <x:f>IF($B165="","",IF(COUNTIF('共享事件'!$A$2:$A$301,$B165)&lt;&gt;1,"事件ID缺失或重复",INDEX('共享事件'!$A$2:$M$301,MATCH($B165,'共享事件'!$A$2:$A$301,0),7)))</x:f>
      </x:c>
      <x:c r="O165" s="17" t="n">
        <x:f>IF($A165="",0,IF(AND($C165='季度总览'!$D$3,$L165='季度总览'!$B$3,OR('季度总览'!$F$3="全部",$D165='季度总览'!$F$3,$D165="全国",$D165="全球")),1,0))</x:f>
        <x:v>0</x:v>
      </x:c>
      <x:c r="P165" s="17" t="str">
        <x:f>IF($A165="","",$K165&amp;"【"&amp;$N165&amp;"】"&amp;CHAR(10)&amp;$D165&amp;"："&amp;$G165)</x:f>
      </x:c>
    </x:row>
    <x:row r="166">
      <x:c r="K166" s="17" t="str">
        <x:f>IF($B166="","",IF(COUNTIF('共享事件'!$A$2:$A$301,$B166)&lt;&gt;1,"事件ID缺失或重复",INDEX('共享事件'!$A$2:$M$301,MATCH($B166,'共享事件'!$A$2:$A$301,0),2)))</x:f>
      </x:c>
      <x:c r="L166" s="18" t="str">
        <x:f>IF($B166="","",IF(COUNTIF('共享事件'!$A$2:$A$301,$B166)&lt;&gt;1,"事件ID缺失或重复",INDEX('共享事件'!$A$2:$M$301,MATCH($B166,'共享事件'!$A$2:$A$301,0),3)))</x:f>
      </x:c>
      <x:c r="M166" s="18" t="str">
        <x:f>IF($B166="","",IF(COUNTIF('共享事件'!$A$2:$A$301,$B166)&lt;&gt;1,"事件ID缺失或重复",INDEX('共享事件'!$A$2:$M$301,MATCH($B166,'共享事件'!$A$2:$A$301,0),4)))</x:f>
      </x:c>
      <x:c r="N166" s="17" t="str">
        <x:f>IF($B166="","",IF(COUNTIF('共享事件'!$A$2:$A$301,$B166)&lt;&gt;1,"事件ID缺失或重复",INDEX('共享事件'!$A$2:$M$301,MATCH($B166,'共享事件'!$A$2:$A$301,0),7)))</x:f>
      </x:c>
      <x:c r="O166" s="17" t="n">
        <x:f>IF($A166="",0,IF(AND($C166='季度总览'!$D$3,$L166='季度总览'!$B$3,OR('季度总览'!$F$3="全部",$D166='季度总览'!$F$3,$D166="全国",$D166="全球")),1,0))</x:f>
        <x:v>0</x:v>
      </x:c>
      <x:c r="P166" s="17" t="str">
        <x:f>IF($A166="","",$K166&amp;"【"&amp;$N166&amp;"】"&amp;CHAR(10)&amp;$D166&amp;"："&amp;$G166)</x:f>
      </x:c>
    </x:row>
    <x:row r="167">
      <x:c r="K167" s="17" t="str">
        <x:f>IF($B167="","",IF(COUNTIF('共享事件'!$A$2:$A$301,$B167)&lt;&gt;1,"事件ID缺失或重复",INDEX('共享事件'!$A$2:$M$301,MATCH($B167,'共享事件'!$A$2:$A$301,0),2)))</x:f>
      </x:c>
      <x:c r="L167" s="18" t="str">
        <x:f>IF($B167="","",IF(COUNTIF('共享事件'!$A$2:$A$301,$B167)&lt;&gt;1,"事件ID缺失或重复",INDEX('共享事件'!$A$2:$M$301,MATCH($B167,'共享事件'!$A$2:$A$301,0),3)))</x:f>
      </x:c>
      <x:c r="M167" s="18" t="str">
        <x:f>IF($B167="","",IF(COUNTIF('共享事件'!$A$2:$A$301,$B167)&lt;&gt;1,"事件ID缺失或重复",INDEX('共享事件'!$A$2:$M$301,MATCH($B167,'共享事件'!$A$2:$A$301,0),4)))</x:f>
      </x:c>
      <x:c r="N167" s="17" t="str">
        <x:f>IF($B167="","",IF(COUNTIF('共享事件'!$A$2:$A$301,$B167)&lt;&gt;1,"事件ID缺失或重复",INDEX('共享事件'!$A$2:$M$301,MATCH($B167,'共享事件'!$A$2:$A$301,0),7)))</x:f>
      </x:c>
      <x:c r="O167" s="17" t="n">
        <x:f>IF($A167="",0,IF(AND($C167='季度总览'!$D$3,$L167='季度总览'!$B$3,OR('季度总览'!$F$3="全部",$D167='季度总览'!$F$3,$D167="全国",$D167="全球")),1,0))</x:f>
        <x:v>0</x:v>
      </x:c>
      <x:c r="P167" s="17" t="str">
        <x:f>IF($A167="","",$K167&amp;"【"&amp;$N167&amp;"】"&amp;CHAR(10)&amp;$D167&amp;"："&amp;$G167)</x:f>
      </x:c>
    </x:row>
    <x:row r="168">
      <x:c r="K168" s="17" t="str">
        <x:f>IF($B168="","",IF(COUNTIF('共享事件'!$A$2:$A$301,$B168)&lt;&gt;1,"事件ID缺失或重复",INDEX('共享事件'!$A$2:$M$301,MATCH($B168,'共享事件'!$A$2:$A$301,0),2)))</x:f>
      </x:c>
      <x:c r="L168" s="18" t="str">
        <x:f>IF($B168="","",IF(COUNTIF('共享事件'!$A$2:$A$301,$B168)&lt;&gt;1,"事件ID缺失或重复",INDEX('共享事件'!$A$2:$M$301,MATCH($B168,'共享事件'!$A$2:$A$301,0),3)))</x:f>
      </x:c>
      <x:c r="M168" s="18" t="str">
        <x:f>IF($B168="","",IF(COUNTIF('共享事件'!$A$2:$A$301,$B168)&lt;&gt;1,"事件ID缺失或重复",INDEX('共享事件'!$A$2:$M$301,MATCH($B168,'共享事件'!$A$2:$A$301,0),4)))</x:f>
      </x:c>
      <x:c r="N168" s="17" t="str">
        <x:f>IF($B168="","",IF(COUNTIF('共享事件'!$A$2:$A$301,$B168)&lt;&gt;1,"事件ID缺失或重复",INDEX('共享事件'!$A$2:$M$301,MATCH($B168,'共享事件'!$A$2:$A$301,0),7)))</x:f>
      </x:c>
      <x:c r="O168" s="17" t="n">
        <x:f>IF($A168="",0,IF(AND($C168='季度总览'!$D$3,$L168='季度总览'!$B$3,OR('季度总览'!$F$3="全部",$D168='季度总览'!$F$3,$D168="全国",$D168="全球")),1,0))</x:f>
        <x:v>0</x:v>
      </x:c>
      <x:c r="P168" s="17" t="str">
        <x:f>IF($A168="","",$K168&amp;"【"&amp;$N168&amp;"】"&amp;CHAR(10)&amp;$D168&amp;"："&amp;$G168)</x:f>
      </x:c>
    </x:row>
    <x:row r="169">
      <x:c r="K169" s="17" t="str">
        <x:f>IF($B169="","",IF(COUNTIF('共享事件'!$A$2:$A$301,$B169)&lt;&gt;1,"事件ID缺失或重复",INDEX('共享事件'!$A$2:$M$301,MATCH($B169,'共享事件'!$A$2:$A$301,0),2)))</x:f>
      </x:c>
      <x:c r="L169" s="18" t="str">
        <x:f>IF($B169="","",IF(COUNTIF('共享事件'!$A$2:$A$301,$B169)&lt;&gt;1,"事件ID缺失或重复",INDEX('共享事件'!$A$2:$M$301,MATCH($B169,'共享事件'!$A$2:$A$301,0),3)))</x:f>
      </x:c>
      <x:c r="M169" s="18" t="str">
        <x:f>IF($B169="","",IF(COUNTIF('共享事件'!$A$2:$A$301,$B169)&lt;&gt;1,"事件ID缺失或重复",INDEX('共享事件'!$A$2:$M$301,MATCH($B169,'共享事件'!$A$2:$A$301,0),4)))</x:f>
      </x:c>
      <x:c r="N169" s="17" t="str">
        <x:f>IF($B169="","",IF(COUNTIF('共享事件'!$A$2:$A$301,$B169)&lt;&gt;1,"事件ID缺失或重复",INDEX('共享事件'!$A$2:$M$301,MATCH($B169,'共享事件'!$A$2:$A$301,0),7)))</x:f>
      </x:c>
      <x:c r="O169" s="17" t="n">
        <x:f>IF($A169="",0,IF(AND($C169='季度总览'!$D$3,$L169='季度总览'!$B$3,OR('季度总览'!$F$3="全部",$D169='季度总览'!$F$3,$D169="全国",$D169="全球")),1,0))</x:f>
        <x:v>0</x:v>
      </x:c>
      <x:c r="P169" s="17" t="str">
        <x:f>IF($A169="","",$K169&amp;"【"&amp;$N169&amp;"】"&amp;CHAR(10)&amp;$D169&amp;"："&amp;$G169)</x:f>
      </x:c>
    </x:row>
    <x:row r="170">
      <x:c r="K170" s="17" t="str">
        <x:f>IF($B170="","",IF(COUNTIF('共享事件'!$A$2:$A$301,$B170)&lt;&gt;1,"事件ID缺失或重复",INDEX('共享事件'!$A$2:$M$301,MATCH($B170,'共享事件'!$A$2:$A$301,0),2)))</x:f>
      </x:c>
      <x:c r="L170" s="18" t="str">
        <x:f>IF($B170="","",IF(COUNTIF('共享事件'!$A$2:$A$301,$B170)&lt;&gt;1,"事件ID缺失或重复",INDEX('共享事件'!$A$2:$M$301,MATCH($B170,'共享事件'!$A$2:$A$301,0),3)))</x:f>
      </x:c>
      <x:c r="M170" s="18" t="str">
        <x:f>IF($B170="","",IF(COUNTIF('共享事件'!$A$2:$A$301,$B170)&lt;&gt;1,"事件ID缺失或重复",INDEX('共享事件'!$A$2:$M$301,MATCH($B170,'共享事件'!$A$2:$A$301,0),4)))</x:f>
      </x:c>
      <x:c r="N170" s="17" t="str">
        <x:f>IF($B170="","",IF(COUNTIF('共享事件'!$A$2:$A$301,$B170)&lt;&gt;1,"事件ID缺失或重复",INDEX('共享事件'!$A$2:$M$301,MATCH($B170,'共享事件'!$A$2:$A$301,0),7)))</x:f>
      </x:c>
      <x:c r="O170" s="17" t="n">
        <x:f>IF($A170="",0,IF(AND($C170='季度总览'!$D$3,$L170='季度总览'!$B$3,OR('季度总览'!$F$3="全部",$D170='季度总览'!$F$3,$D170="全国",$D170="全球")),1,0))</x:f>
        <x:v>0</x:v>
      </x:c>
      <x:c r="P170" s="17" t="str">
        <x:f>IF($A170="","",$K170&amp;"【"&amp;$N170&amp;"】"&amp;CHAR(10)&amp;$D170&amp;"："&amp;$G170)</x:f>
      </x:c>
    </x:row>
    <x:row r="171">
      <x:c r="K171" s="17" t="str">
        <x:f>IF($B171="","",IF(COUNTIF('共享事件'!$A$2:$A$301,$B171)&lt;&gt;1,"事件ID缺失或重复",INDEX('共享事件'!$A$2:$M$301,MATCH($B171,'共享事件'!$A$2:$A$301,0),2)))</x:f>
      </x:c>
      <x:c r="L171" s="18" t="str">
        <x:f>IF($B171="","",IF(COUNTIF('共享事件'!$A$2:$A$301,$B171)&lt;&gt;1,"事件ID缺失或重复",INDEX('共享事件'!$A$2:$M$301,MATCH($B171,'共享事件'!$A$2:$A$301,0),3)))</x:f>
      </x:c>
      <x:c r="M171" s="18" t="str">
        <x:f>IF($B171="","",IF(COUNTIF('共享事件'!$A$2:$A$301,$B171)&lt;&gt;1,"事件ID缺失或重复",INDEX('共享事件'!$A$2:$M$301,MATCH($B171,'共享事件'!$A$2:$A$301,0),4)))</x:f>
      </x:c>
      <x:c r="N171" s="17" t="str">
        <x:f>IF($B171="","",IF(COUNTIF('共享事件'!$A$2:$A$301,$B171)&lt;&gt;1,"事件ID缺失或重复",INDEX('共享事件'!$A$2:$M$301,MATCH($B171,'共享事件'!$A$2:$A$301,0),7)))</x:f>
      </x:c>
      <x:c r="O171" s="17" t="n">
        <x:f>IF($A171="",0,IF(AND($C171='季度总览'!$D$3,$L171='季度总览'!$B$3,OR('季度总览'!$F$3="全部",$D171='季度总览'!$F$3,$D171="全国",$D171="全球")),1,0))</x:f>
        <x:v>0</x:v>
      </x:c>
      <x:c r="P171" s="17" t="str">
        <x:f>IF($A171="","",$K171&amp;"【"&amp;$N171&amp;"】"&amp;CHAR(10)&amp;$D171&amp;"："&amp;$G171)</x:f>
      </x:c>
    </x:row>
    <x:row r="172">
      <x:c r="K172" s="17" t="str">
        <x:f>IF($B172="","",IF(COUNTIF('共享事件'!$A$2:$A$301,$B172)&lt;&gt;1,"事件ID缺失或重复",INDEX('共享事件'!$A$2:$M$301,MATCH($B172,'共享事件'!$A$2:$A$301,0),2)))</x:f>
      </x:c>
      <x:c r="L172" s="18" t="str">
        <x:f>IF($B172="","",IF(COUNTIF('共享事件'!$A$2:$A$301,$B172)&lt;&gt;1,"事件ID缺失或重复",INDEX('共享事件'!$A$2:$M$301,MATCH($B172,'共享事件'!$A$2:$A$301,0),3)))</x:f>
      </x:c>
      <x:c r="M172" s="18" t="str">
        <x:f>IF($B172="","",IF(COUNTIF('共享事件'!$A$2:$A$301,$B172)&lt;&gt;1,"事件ID缺失或重复",INDEX('共享事件'!$A$2:$M$301,MATCH($B172,'共享事件'!$A$2:$A$301,0),4)))</x:f>
      </x:c>
      <x:c r="N172" s="17" t="str">
        <x:f>IF($B172="","",IF(COUNTIF('共享事件'!$A$2:$A$301,$B172)&lt;&gt;1,"事件ID缺失或重复",INDEX('共享事件'!$A$2:$M$301,MATCH($B172,'共享事件'!$A$2:$A$301,0),7)))</x:f>
      </x:c>
      <x:c r="O172" s="17" t="n">
        <x:f>IF($A172="",0,IF(AND($C172='季度总览'!$D$3,$L172='季度总览'!$B$3,OR('季度总览'!$F$3="全部",$D172='季度总览'!$F$3,$D172="全国",$D172="全球")),1,0))</x:f>
        <x:v>0</x:v>
      </x:c>
      <x:c r="P172" s="17" t="str">
        <x:f>IF($A172="","",$K172&amp;"【"&amp;$N172&amp;"】"&amp;CHAR(10)&amp;$D172&amp;"："&amp;$G172)</x:f>
      </x:c>
    </x:row>
    <x:row r="173">
      <x:c r="K173" s="17" t="str">
        <x:f>IF($B173="","",IF(COUNTIF('共享事件'!$A$2:$A$301,$B173)&lt;&gt;1,"事件ID缺失或重复",INDEX('共享事件'!$A$2:$M$301,MATCH($B173,'共享事件'!$A$2:$A$301,0),2)))</x:f>
      </x:c>
      <x:c r="L173" s="18" t="str">
        <x:f>IF($B173="","",IF(COUNTIF('共享事件'!$A$2:$A$301,$B173)&lt;&gt;1,"事件ID缺失或重复",INDEX('共享事件'!$A$2:$M$301,MATCH($B173,'共享事件'!$A$2:$A$301,0),3)))</x:f>
      </x:c>
      <x:c r="M173" s="18" t="str">
        <x:f>IF($B173="","",IF(COUNTIF('共享事件'!$A$2:$A$301,$B173)&lt;&gt;1,"事件ID缺失或重复",INDEX('共享事件'!$A$2:$M$301,MATCH($B173,'共享事件'!$A$2:$A$301,0),4)))</x:f>
      </x:c>
      <x:c r="N173" s="17" t="str">
        <x:f>IF($B173="","",IF(COUNTIF('共享事件'!$A$2:$A$301,$B173)&lt;&gt;1,"事件ID缺失或重复",INDEX('共享事件'!$A$2:$M$301,MATCH($B173,'共享事件'!$A$2:$A$301,0),7)))</x:f>
      </x:c>
      <x:c r="O173" s="17" t="n">
        <x:f>IF($A173="",0,IF(AND($C173='季度总览'!$D$3,$L173='季度总览'!$B$3,OR('季度总览'!$F$3="全部",$D173='季度总览'!$F$3,$D173="全国",$D173="全球")),1,0))</x:f>
        <x:v>0</x:v>
      </x:c>
      <x:c r="P173" s="17" t="str">
        <x:f>IF($A173="","",$K173&amp;"【"&amp;$N173&amp;"】"&amp;CHAR(10)&amp;$D173&amp;"："&amp;$G173)</x:f>
      </x:c>
    </x:row>
    <x:row r="174">
      <x:c r="K174" s="17" t="str">
        <x:f>IF($B174="","",IF(COUNTIF('共享事件'!$A$2:$A$301,$B174)&lt;&gt;1,"事件ID缺失或重复",INDEX('共享事件'!$A$2:$M$301,MATCH($B174,'共享事件'!$A$2:$A$301,0),2)))</x:f>
      </x:c>
      <x:c r="L174" s="18" t="str">
        <x:f>IF($B174="","",IF(COUNTIF('共享事件'!$A$2:$A$301,$B174)&lt;&gt;1,"事件ID缺失或重复",INDEX('共享事件'!$A$2:$M$301,MATCH($B174,'共享事件'!$A$2:$A$301,0),3)))</x:f>
      </x:c>
      <x:c r="M174" s="18" t="str">
        <x:f>IF($B174="","",IF(COUNTIF('共享事件'!$A$2:$A$301,$B174)&lt;&gt;1,"事件ID缺失或重复",INDEX('共享事件'!$A$2:$M$301,MATCH($B174,'共享事件'!$A$2:$A$301,0),4)))</x:f>
      </x:c>
      <x:c r="N174" s="17" t="str">
        <x:f>IF($B174="","",IF(COUNTIF('共享事件'!$A$2:$A$301,$B174)&lt;&gt;1,"事件ID缺失或重复",INDEX('共享事件'!$A$2:$M$301,MATCH($B174,'共享事件'!$A$2:$A$301,0),7)))</x:f>
      </x:c>
      <x:c r="O174" s="17" t="n">
        <x:f>IF($A174="",0,IF(AND($C174='季度总览'!$D$3,$L174='季度总览'!$B$3,OR('季度总览'!$F$3="全部",$D174='季度总览'!$F$3,$D174="全国",$D174="全球")),1,0))</x:f>
        <x:v>0</x:v>
      </x:c>
      <x:c r="P174" s="17" t="str">
        <x:f>IF($A174="","",$K174&amp;"【"&amp;$N174&amp;"】"&amp;CHAR(10)&amp;$D174&amp;"："&amp;$G174)</x:f>
      </x:c>
    </x:row>
    <x:row r="175">
      <x:c r="K175" s="17" t="str">
        <x:f>IF($B175="","",IF(COUNTIF('共享事件'!$A$2:$A$301,$B175)&lt;&gt;1,"事件ID缺失或重复",INDEX('共享事件'!$A$2:$M$301,MATCH($B175,'共享事件'!$A$2:$A$301,0),2)))</x:f>
      </x:c>
      <x:c r="L175" s="18" t="str">
        <x:f>IF($B175="","",IF(COUNTIF('共享事件'!$A$2:$A$301,$B175)&lt;&gt;1,"事件ID缺失或重复",INDEX('共享事件'!$A$2:$M$301,MATCH($B175,'共享事件'!$A$2:$A$301,0),3)))</x:f>
      </x:c>
      <x:c r="M175" s="18" t="str">
        <x:f>IF($B175="","",IF(COUNTIF('共享事件'!$A$2:$A$301,$B175)&lt;&gt;1,"事件ID缺失或重复",INDEX('共享事件'!$A$2:$M$301,MATCH($B175,'共享事件'!$A$2:$A$301,0),4)))</x:f>
      </x:c>
      <x:c r="N175" s="17" t="str">
        <x:f>IF($B175="","",IF(COUNTIF('共享事件'!$A$2:$A$301,$B175)&lt;&gt;1,"事件ID缺失或重复",INDEX('共享事件'!$A$2:$M$301,MATCH($B175,'共享事件'!$A$2:$A$301,0),7)))</x:f>
      </x:c>
      <x:c r="O175" s="17" t="n">
        <x:f>IF($A175="",0,IF(AND($C175='季度总览'!$D$3,$L175='季度总览'!$B$3,OR('季度总览'!$F$3="全部",$D175='季度总览'!$F$3,$D175="全国",$D175="全球")),1,0))</x:f>
        <x:v>0</x:v>
      </x:c>
      <x:c r="P175" s="17" t="str">
        <x:f>IF($A175="","",$K175&amp;"【"&amp;$N175&amp;"】"&amp;CHAR(10)&amp;$D175&amp;"："&amp;$G175)</x:f>
      </x:c>
    </x:row>
    <x:row r="176">
      <x:c r="K176" s="17" t="str">
        <x:f>IF($B176="","",IF(COUNTIF('共享事件'!$A$2:$A$301,$B176)&lt;&gt;1,"事件ID缺失或重复",INDEX('共享事件'!$A$2:$M$301,MATCH($B176,'共享事件'!$A$2:$A$301,0),2)))</x:f>
      </x:c>
      <x:c r="L176" s="18" t="str">
        <x:f>IF($B176="","",IF(COUNTIF('共享事件'!$A$2:$A$301,$B176)&lt;&gt;1,"事件ID缺失或重复",INDEX('共享事件'!$A$2:$M$301,MATCH($B176,'共享事件'!$A$2:$A$301,0),3)))</x:f>
      </x:c>
      <x:c r="M176" s="18" t="str">
        <x:f>IF($B176="","",IF(COUNTIF('共享事件'!$A$2:$A$301,$B176)&lt;&gt;1,"事件ID缺失或重复",INDEX('共享事件'!$A$2:$M$301,MATCH($B176,'共享事件'!$A$2:$A$301,0),4)))</x:f>
      </x:c>
      <x:c r="N176" s="17" t="str">
        <x:f>IF($B176="","",IF(COUNTIF('共享事件'!$A$2:$A$301,$B176)&lt;&gt;1,"事件ID缺失或重复",INDEX('共享事件'!$A$2:$M$301,MATCH($B176,'共享事件'!$A$2:$A$301,0),7)))</x:f>
      </x:c>
      <x:c r="O176" s="17" t="n">
        <x:f>IF($A176="",0,IF(AND($C176='季度总览'!$D$3,$L176='季度总览'!$B$3,OR('季度总览'!$F$3="全部",$D176='季度总览'!$F$3,$D176="全国",$D176="全球")),1,0))</x:f>
        <x:v>0</x:v>
      </x:c>
      <x:c r="P176" s="17" t="str">
        <x:f>IF($A176="","",$K176&amp;"【"&amp;$N176&amp;"】"&amp;CHAR(10)&amp;$D176&amp;"："&amp;$G176)</x:f>
      </x:c>
    </x:row>
    <x:row r="177">
      <x:c r="K177" s="17" t="str">
        <x:f>IF($B177="","",IF(COUNTIF('共享事件'!$A$2:$A$301,$B177)&lt;&gt;1,"事件ID缺失或重复",INDEX('共享事件'!$A$2:$M$301,MATCH($B177,'共享事件'!$A$2:$A$301,0),2)))</x:f>
      </x:c>
      <x:c r="L177" s="18" t="str">
        <x:f>IF($B177="","",IF(COUNTIF('共享事件'!$A$2:$A$301,$B177)&lt;&gt;1,"事件ID缺失或重复",INDEX('共享事件'!$A$2:$M$301,MATCH($B177,'共享事件'!$A$2:$A$301,0),3)))</x:f>
      </x:c>
      <x:c r="M177" s="18" t="str">
        <x:f>IF($B177="","",IF(COUNTIF('共享事件'!$A$2:$A$301,$B177)&lt;&gt;1,"事件ID缺失或重复",INDEX('共享事件'!$A$2:$M$301,MATCH($B177,'共享事件'!$A$2:$A$301,0),4)))</x:f>
      </x:c>
      <x:c r="N177" s="17" t="str">
        <x:f>IF($B177="","",IF(COUNTIF('共享事件'!$A$2:$A$301,$B177)&lt;&gt;1,"事件ID缺失或重复",INDEX('共享事件'!$A$2:$M$301,MATCH($B177,'共享事件'!$A$2:$A$301,0),7)))</x:f>
      </x:c>
      <x:c r="O177" s="17" t="n">
        <x:f>IF($A177="",0,IF(AND($C177='季度总览'!$D$3,$L177='季度总览'!$B$3,OR('季度总览'!$F$3="全部",$D177='季度总览'!$F$3,$D177="全国",$D177="全球")),1,0))</x:f>
        <x:v>0</x:v>
      </x:c>
      <x:c r="P177" s="17" t="str">
        <x:f>IF($A177="","",$K177&amp;"【"&amp;$N177&amp;"】"&amp;CHAR(10)&amp;$D177&amp;"："&amp;$G177)</x:f>
      </x:c>
    </x:row>
    <x:row r="178">
      <x:c r="K178" s="17" t="str">
        <x:f>IF($B178="","",IF(COUNTIF('共享事件'!$A$2:$A$301,$B178)&lt;&gt;1,"事件ID缺失或重复",INDEX('共享事件'!$A$2:$M$301,MATCH($B178,'共享事件'!$A$2:$A$301,0),2)))</x:f>
      </x:c>
      <x:c r="L178" s="18" t="str">
        <x:f>IF($B178="","",IF(COUNTIF('共享事件'!$A$2:$A$301,$B178)&lt;&gt;1,"事件ID缺失或重复",INDEX('共享事件'!$A$2:$M$301,MATCH($B178,'共享事件'!$A$2:$A$301,0),3)))</x:f>
      </x:c>
      <x:c r="M178" s="18" t="str">
        <x:f>IF($B178="","",IF(COUNTIF('共享事件'!$A$2:$A$301,$B178)&lt;&gt;1,"事件ID缺失或重复",INDEX('共享事件'!$A$2:$M$301,MATCH($B178,'共享事件'!$A$2:$A$301,0),4)))</x:f>
      </x:c>
      <x:c r="N178" s="17" t="str">
        <x:f>IF($B178="","",IF(COUNTIF('共享事件'!$A$2:$A$301,$B178)&lt;&gt;1,"事件ID缺失或重复",INDEX('共享事件'!$A$2:$M$301,MATCH($B178,'共享事件'!$A$2:$A$301,0),7)))</x:f>
      </x:c>
      <x:c r="O178" s="17" t="n">
        <x:f>IF($A178="",0,IF(AND($C178='季度总览'!$D$3,$L178='季度总览'!$B$3,OR('季度总览'!$F$3="全部",$D178='季度总览'!$F$3,$D178="全国",$D178="全球")),1,0))</x:f>
        <x:v>0</x:v>
      </x:c>
      <x:c r="P178" s="17" t="str">
        <x:f>IF($A178="","",$K178&amp;"【"&amp;$N178&amp;"】"&amp;CHAR(10)&amp;$D178&amp;"："&amp;$G178)</x:f>
      </x:c>
    </x:row>
    <x:row r="179">
      <x:c r="K179" s="17" t="str">
        <x:f>IF($B179="","",IF(COUNTIF('共享事件'!$A$2:$A$301,$B179)&lt;&gt;1,"事件ID缺失或重复",INDEX('共享事件'!$A$2:$M$301,MATCH($B179,'共享事件'!$A$2:$A$301,0),2)))</x:f>
      </x:c>
      <x:c r="L179" s="18" t="str">
        <x:f>IF($B179="","",IF(COUNTIF('共享事件'!$A$2:$A$301,$B179)&lt;&gt;1,"事件ID缺失或重复",INDEX('共享事件'!$A$2:$M$301,MATCH($B179,'共享事件'!$A$2:$A$301,0),3)))</x:f>
      </x:c>
      <x:c r="M179" s="18" t="str">
        <x:f>IF($B179="","",IF(COUNTIF('共享事件'!$A$2:$A$301,$B179)&lt;&gt;1,"事件ID缺失或重复",INDEX('共享事件'!$A$2:$M$301,MATCH($B179,'共享事件'!$A$2:$A$301,0),4)))</x:f>
      </x:c>
      <x:c r="N179" s="17" t="str">
        <x:f>IF($B179="","",IF(COUNTIF('共享事件'!$A$2:$A$301,$B179)&lt;&gt;1,"事件ID缺失或重复",INDEX('共享事件'!$A$2:$M$301,MATCH($B179,'共享事件'!$A$2:$A$301,0),7)))</x:f>
      </x:c>
      <x:c r="O179" s="17" t="n">
        <x:f>IF($A179="",0,IF(AND($C179='季度总览'!$D$3,$L179='季度总览'!$B$3,OR('季度总览'!$F$3="全部",$D179='季度总览'!$F$3,$D179="全国",$D179="全球")),1,0))</x:f>
        <x:v>0</x:v>
      </x:c>
      <x:c r="P179" s="17" t="str">
        <x:f>IF($A179="","",$K179&amp;"【"&amp;$N179&amp;"】"&amp;CHAR(10)&amp;$D179&amp;"："&amp;$G179)</x:f>
      </x:c>
    </x:row>
    <x:row r="180">
      <x:c r="K180" s="17" t="str">
        <x:f>IF($B180="","",IF(COUNTIF('共享事件'!$A$2:$A$301,$B180)&lt;&gt;1,"事件ID缺失或重复",INDEX('共享事件'!$A$2:$M$301,MATCH($B180,'共享事件'!$A$2:$A$301,0),2)))</x:f>
      </x:c>
      <x:c r="L180" s="18" t="str">
        <x:f>IF($B180="","",IF(COUNTIF('共享事件'!$A$2:$A$301,$B180)&lt;&gt;1,"事件ID缺失或重复",INDEX('共享事件'!$A$2:$M$301,MATCH($B180,'共享事件'!$A$2:$A$301,0),3)))</x:f>
      </x:c>
      <x:c r="M180" s="18" t="str">
        <x:f>IF($B180="","",IF(COUNTIF('共享事件'!$A$2:$A$301,$B180)&lt;&gt;1,"事件ID缺失或重复",INDEX('共享事件'!$A$2:$M$301,MATCH($B180,'共享事件'!$A$2:$A$301,0),4)))</x:f>
      </x:c>
      <x:c r="N180" s="17" t="str">
        <x:f>IF($B180="","",IF(COUNTIF('共享事件'!$A$2:$A$301,$B180)&lt;&gt;1,"事件ID缺失或重复",INDEX('共享事件'!$A$2:$M$301,MATCH($B180,'共享事件'!$A$2:$A$301,0),7)))</x:f>
      </x:c>
      <x:c r="O180" s="17" t="n">
        <x:f>IF($A180="",0,IF(AND($C180='季度总览'!$D$3,$L180='季度总览'!$B$3,OR('季度总览'!$F$3="全部",$D180='季度总览'!$F$3,$D180="全国",$D180="全球")),1,0))</x:f>
        <x:v>0</x:v>
      </x:c>
      <x:c r="P180" s="17" t="str">
        <x:f>IF($A180="","",$K180&amp;"【"&amp;$N180&amp;"】"&amp;CHAR(10)&amp;$D180&amp;"："&amp;$G180)</x:f>
      </x:c>
    </x:row>
    <x:row r="181">
      <x:c r="K181" s="17" t="str">
        <x:f>IF($B181="","",IF(COUNTIF('共享事件'!$A$2:$A$301,$B181)&lt;&gt;1,"事件ID缺失或重复",INDEX('共享事件'!$A$2:$M$301,MATCH($B181,'共享事件'!$A$2:$A$301,0),2)))</x:f>
      </x:c>
      <x:c r="L181" s="18" t="str">
        <x:f>IF($B181="","",IF(COUNTIF('共享事件'!$A$2:$A$301,$B181)&lt;&gt;1,"事件ID缺失或重复",INDEX('共享事件'!$A$2:$M$301,MATCH($B181,'共享事件'!$A$2:$A$301,0),3)))</x:f>
      </x:c>
      <x:c r="M181" s="18" t="str">
        <x:f>IF($B181="","",IF(COUNTIF('共享事件'!$A$2:$A$301,$B181)&lt;&gt;1,"事件ID缺失或重复",INDEX('共享事件'!$A$2:$M$301,MATCH($B181,'共享事件'!$A$2:$A$301,0),4)))</x:f>
      </x:c>
      <x:c r="N181" s="17" t="str">
        <x:f>IF($B181="","",IF(COUNTIF('共享事件'!$A$2:$A$301,$B181)&lt;&gt;1,"事件ID缺失或重复",INDEX('共享事件'!$A$2:$M$301,MATCH($B181,'共享事件'!$A$2:$A$301,0),7)))</x:f>
      </x:c>
      <x:c r="O181" s="17" t="n">
        <x:f>IF($A181="",0,IF(AND($C181='季度总览'!$D$3,$L181='季度总览'!$B$3,OR('季度总览'!$F$3="全部",$D181='季度总览'!$F$3,$D181="全国",$D181="全球")),1,0))</x:f>
        <x:v>0</x:v>
      </x:c>
      <x:c r="P181" s="17" t="str">
        <x:f>IF($A181="","",$K181&amp;"【"&amp;$N181&amp;"】"&amp;CHAR(10)&amp;$D181&amp;"："&amp;$G181)</x:f>
      </x:c>
    </x:row>
    <x:row r="182">
      <x:c r="K182" s="17" t="str">
        <x:f>IF($B182="","",IF(COUNTIF('共享事件'!$A$2:$A$301,$B182)&lt;&gt;1,"事件ID缺失或重复",INDEX('共享事件'!$A$2:$M$301,MATCH($B182,'共享事件'!$A$2:$A$301,0),2)))</x:f>
      </x:c>
      <x:c r="L182" s="18" t="str">
        <x:f>IF($B182="","",IF(COUNTIF('共享事件'!$A$2:$A$301,$B182)&lt;&gt;1,"事件ID缺失或重复",INDEX('共享事件'!$A$2:$M$301,MATCH($B182,'共享事件'!$A$2:$A$301,0),3)))</x:f>
      </x:c>
      <x:c r="M182" s="18" t="str">
        <x:f>IF($B182="","",IF(COUNTIF('共享事件'!$A$2:$A$301,$B182)&lt;&gt;1,"事件ID缺失或重复",INDEX('共享事件'!$A$2:$M$301,MATCH($B182,'共享事件'!$A$2:$A$301,0),4)))</x:f>
      </x:c>
      <x:c r="N182" s="17" t="str">
        <x:f>IF($B182="","",IF(COUNTIF('共享事件'!$A$2:$A$301,$B182)&lt;&gt;1,"事件ID缺失或重复",INDEX('共享事件'!$A$2:$M$301,MATCH($B182,'共享事件'!$A$2:$A$301,0),7)))</x:f>
      </x:c>
      <x:c r="O182" s="17" t="n">
        <x:f>IF($A182="",0,IF(AND($C182='季度总览'!$D$3,$L182='季度总览'!$B$3,OR('季度总览'!$F$3="全部",$D182='季度总览'!$F$3,$D182="全国",$D182="全球")),1,0))</x:f>
        <x:v>0</x:v>
      </x:c>
      <x:c r="P182" s="17" t="str">
        <x:f>IF($A182="","",$K182&amp;"【"&amp;$N182&amp;"】"&amp;CHAR(10)&amp;$D182&amp;"："&amp;$G182)</x:f>
      </x:c>
    </x:row>
    <x:row r="183">
      <x:c r="K183" s="17" t="str">
        <x:f>IF($B183="","",IF(COUNTIF('共享事件'!$A$2:$A$301,$B183)&lt;&gt;1,"事件ID缺失或重复",INDEX('共享事件'!$A$2:$M$301,MATCH($B183,'共享事件'!$A$2:$A$301,0),2)))</x:f>
      </x:c>
      <x:c r="L183" s="18" t="str">
        <x:f>IF($B183="","",IF(COUNTIF('共享事件'!$A$2:$A$301,$B183)&lt;&gt;1,"事件ID缺失或重复",INDEX('共享事件'!$A$2:$M$301,MATCH($B183,'共享事件'!$A$2:$A$301,0),3)))</x:f>
      </x:c>
      <x:c r="M183" s="18" t="str">
        <x:f>IF($B183="","",IF(COUNTIF('共享事件'!$A$2:$A$301,$B183)&lt;&gt;1,"事件ID缺失或重复",INDEX('共享事件'!$A$2:$M$301,MATCH($B183,'共享事件'!$A$2:$A$301,0),4)))</x:f>
      </x:c>
      <x:c r="N183" s="17" t="str">
        <x:f>IF($B183="","",IF(COUNTIF('共享事件'!$A$2:$A$301,$B183)&lt;&gt;1,"事件ID缺失或重复",INDEX('共享事件'!$A$2:$M$301,MATCH($B183,'共享事件'!$A$2:$A$301,0),7)))</x:f>
      </x:c>
      <x:c r="O183" s="17" t="n">
        <x:f>IF($A183="",0,IF(AND($C183='季度总览'!$D$3,$L183='季度总览'!$B$3,OR('季度总览'!$F$3="全部",$D183='季度总览'!$F$3,$D183="全国",$D183="全球")),1,0))</x:f>
        <x:v>0</x:v>
      </x:c>
      <x:c r="P183" s="17" t="str">
        <x:f>IF($A183="","",$K183&amp;"【"&amp;$N183&amp;"】"&amp;CHAR(10)&amp;$D183&amp;"："&amp;$G183)</x:f>
      </x:c>
    </x:row>
    <x:row r="184">
      <x:c r="K184" s="17" t="str">
        <x:f>IF($B184="","",IF(COUNTIF('共享事件'!$A$2:$A$301,$B184)&lt;&gt;1,"事件ID缺失或重复",INDEX('共享事件'!$A$2:$M$301,MATCH($B184,'共享事件'!$A$2:$A$301,0),2)))</x:f>
      </x:c>
      <x:c r="L184" s="18" t="str">
        <x:f>IF($B184="","",IF(COUNTIF('共享事件'!$A$2:$A$301,$B184)&lt;&gt;1,"事件ID缺失或重复",INDEX('共享事件'!$A$2:$M$301,MATCH($B184,'共享事件'!$A$2:$A$301,0),3)))</x:f>
      </x:c>
      <x:c r="M184" s="18" t="str">
        <x:f>IF($B184="","",IF(COUNTIF('共享事件'!$A$2:$A$301,$B184)&lt;&gt;1,"事件ID缺失或重复",INDEX('共享事件'!$A$2:$M$301,MATCH($B184,'共享事件'!$A$2:$A$301,0),4)))</x:f>
      </x:c>
      <x:c r="N184" s="17" t="str">
        <x:f>IF($B184="","",IF(COUNTIF('共享事件'!$A$2:$A$301,$B184)&lt;&gt;1,"事件ID缺失或重复",INDEX('共享事件'!$A$2:$M$301,MATCH($B184,'共享事件'!$A$2:$A$301,0),7)))</x:f>
      </x:c>
      <x:c r="O184" s="17" t="n">
        <x:f>IF($A184="",0,IF(AND($C184='季度总览'!$D$3,$L184='季度总览'!$B$3,OR('季度总览'!$F$3="全部",$D184='季度总览'!$F$3,$D184="全国",$D184="全球")),1,0))</x:f>
        <x:v>0</x:v>
      </x:c>
      <x:c r="P184" s="17" t="str">
        <x:f>IF($A184="","",$K184&amp;"【"&amp;$N184&amp;"】"&amp;CHAR(10)&amp;$D184&amp;"："&amp;$G184)</x:f>
      </x:c>
    </x:row>
    <x:row r="185">
      <x:c r="K185" s="17" t="str">
        <x:f>IF($B185="","",IF(COUNTIF('共享事件'!$A$2:$A$301,$B185)&lt;&gt;1,"事件ID缺失或重复",INDEX('共享事件'!$A$2:$M$301,MATCH($B185,'共享事件'!$A$2:$A$301,0),2)))</x:f>
      </x:c>
      <x:c r="L185" s="18" t="str">
        <x:f>IF($B185="","",IF(COUNTIF('共享事件'!$A$2:$A$301,$B185)&lt;&gt;1,"事件ID缺失或重复",INDEX('共享事件'!$A$2:$M$301,MATCH($B185,'共享事件'!$A$2:$A$301,0),3)))</x:f>
      </x:c>
      <x:c r="M185" s="18" t="str">
        <x:f>IF($B185="","",IF(COUNTIF('共享事件'!$A$2:$A$301,$B185)&lt;&gt;1,"事件ID缺失或重复",INDEX('共享事件'!$A$2:$M$301,MATCH($B185,'共享事件'!$A$2:$A$301,0),4)))</x:f>
      </x:c>
      <x:c r="N185" s="17" t="str">
        <x:f>IF($B185="","",IF(COUNTIF('共享事件'!$A$2:$A$301,$B185)&lt;&gt;1,"事件ID缺失或重复",INDEX('共享事件'!$A$2:$M$301,MATCH($B185,'共享事件'!$A$2:$A$301,0),7)))</x:f>
      </x:c>
      <x:c r="O185" s="17" t="n">
        <x:f>IF($A185="",0,IF(AND($C185='季度总览'!$D$3,$L185='季度总览'!$B$3,OR('季度总览'!$F$3="全部",$D185='季度总览'!$F$3,$D185="全国",$D185="全球")),1,0))</x:f>
        <x:v>0</x:v>
      </x:c>
      <x:c r="P185" s="17" t="str">
        <x:f>IF($A185="","",$K185&amp;"【"&amp;$N185&amp;"】"&amp;CHAR(10)&amp;$D185&amp;"："&amp;$G185)</x:f>
      </x:c>
    </x:row>
    <x:row r="186">
      <x:c r="K186" s="17" t="str">
        <x:f>IF($B186="","",IF(COUNTIF('共享事件'!$A$2:$A$301,$B186)&lt;&gt;1,"事件ID缺失或重复",INDEX('共享事件'!$A$2:$M$301,MATCH($B186,'共享事件'!$A$2:$A$301,0),2)))</x:f>
      </x:c>
      <x:c r="L186" s="18" t="str">
        <x:f>IF($B186="","",IF(COUNTIF('共享事件'!$A$2:$A$301,$B186)&lt;&gt;1,"事件ID缺失或重复",INDEX('共享事件'!$A$2:$M$301,MATCH($B186,'共享事件'!$A$2:$A$301,0),3)))</x:f>
      </x:c>
      <x:c r="M186" s="18" t="str">
        <x:f>IF($B186="","",IF(COUNTIF('共享事件'!$A$2:$A$301,$B186)&lt;&gt;1,"事件ID缺失或重复",INDEX('共享事件'!$A$2:$M$301,MATCH($B186,'共享事件'!$A$2:$A$301,0),4)))</x:f>
      </x:c>
      <x:c r="N186" s="17" t="str">
        <x:f>IF($B186="","",IF(COUNTIF('共享事件'!$A$2:$A$301,$B186)&lt;&gt;1,"事件ID缺失或重复",INDEX('共享事件'!$A$2:$M$301,MATCH($B186,'共享事件'!$A$2:$A$301,0),7)))</x:f>
      </x:c>
      <x:c r="O186" s="17" t="n">
        <x:f>IF($A186="",0,IF(AND($C186='季度总览'!$D$3,$L186='季度总览'!$B$3,OR('季度总览'!$F$3="全部",$D186='季度总览'!$F$3,$D186="全国",$D186="全球")),1,0))</x:f>
        <x:v>0</x:v>
      </x:c>
      <x:c r="P186" s="17" t="str">
        <x:f>IF($A186="","",$K186&amp;"【"&amp;$N186&amp;"】"&amp;CHAR(10)&amp;$D186&amp;"："&amp;$G186)</x:f>
      </x:c>
    </x:row>
    <x:row r="187">
      <x:c r="K187" s="17" t="str">
        <x:f>IF($B187="","",IF(COUNTIF('共享事件'!$A$2:$A$301,$B187)&lt;&gt;1,"事件ID缺失或重复",INDEX('共享事件'!$A$2:$M$301,MATCH($B187,'共享事件'!$A$2:$A$301,0),2)))</x:f>
      </x:c>
      <x:c r="L187" s="18" t="str">
        <x:f>IF($B187="","",IF(COUNTIF('共享事件'!$A$2:$A$301,$B187)&lt;&gt;1,"事件ID缺失或重复",INDEX('共享事件'!$A$2:$M$301,MATCH($B187,'共享事件'!$A$2:$A$301,0),3)))</x:f>
      </x:c>
      <x:c r="M187" s="18" t="str">
        <x:f>IF($B187="","",IF(COUNTIF('共享事件'!$A$2:$A$301,$B187)&lt;&gt;1,"事件ID缺失或重复",INDEX('共享事件'!$A$2:$M$301,MATCH($B187,'共享事件'!$A$2:$A$301,0),4)))</x:f>
      </x:c>
      <x:c r="N187" s="17" t="str">
        <x:f>IF($B187="","",IF(COUNTIF('共享事件'!$A$2:$A$301,$B187)&lt;&gt;1,"事件ID缺失或重复",INDEX('共享事件'!$A$2:$M$301,MATCH($B187,'共享事件'!$A$2:$A$301,0),7)))</x:f>
      </x:c>
      <x:c r="O187" s="17" t="n">
        <x:f>IF($A187="",0,IF(AND($C187='季度总览'!$D$3,$L187='季度总览'!$B$3,OR('季度总览'!$F$3="全部",$D187='季度总览'!$F$3,$D187="全国",$D187="全球")),1,0))</x:f>
        <x:v>0</x:v>
      </x:c>
      <x:c r="P187" s="17" t="str">
        <x:f>IF($A187="","",$K187&amp;"【"&amp;$N187&amp;"】"&amp;CHAR(10)&amp;$D187&amp;"："&amp;$G187)</x:f>
      </x:c>
    </x:row>
    <x:row r="188">
      <x:c r="K188" s="17" t="str">
        <x:f>IF($B188="","",IF(COUNTIF('共享事件'!$A$2:$A$301,$B188)&lt;&gt;1,"事件ID缺失或重复",INDEX('共享事件'!$A$2:$M$301,MATCH($B188,'共享事件'!$A$2:$A$301,0),2)))</x:f>
      </x:c>
      <x:c r="L188" s="18" t="str">
        <x:f>IF($B188="","",IF(COUNTIF('共享事件'!$A$2:$A$301,$B188)&lt;&gt;1,"事件ID缺失或重复",INDEX('共享事件'!$A$2:$M$301,MATCH($B188,'共享事件'!$A$2:$A$301,0),3)))</x:f>
      </x:c>
      <x:c r="M188" s="18" t="str">
        <x:f>IF($B188="","",IF(COUNTIF('共享事件'!$A$2:$A$301,$B188)&lt;&gt;1,"事件ID缺失或重复",INDEX('共享事件'!$A$2:$M$301,MATCH($B188,'共享事件'!$A$2:$A$301,0),4)))</x:f>
      </x:c>
      <x:c r="N188" s="17" t="str">
        <x:f>IF($B188="","",IF(COUNTIF('共享事件'!$A$2:$A$301,$B188)&lt;&gt;1,"事件ID缺失或重复",INDEX('共享事件'!$A$2:$M$301,MATCH($B188,'共享事件'!$A$2:$A$301,0),7)))</x:f>
      </x:c>
      <x:c r="O188" s="17" t="n">
        <x:f>IF($A188="",0,IF(AND($C188='季度总览'!$D$3,$L188='季度总览'!$B$3,OR('季度总览'!$F$3="全部",$D188='季度总览'!$F$3,$D188="全国",$D188="全球")),1,0))</x:f>
        <x:v>0</x:v>
      </x:c>
      <x:c r="P188" s="17" t="str">
        <x:f>IF($A188="","",$K188&amp;"【"&amp;$N188&amp;"】"&amp;CHAR(10)&amp;$D188&amp;"："&amp;$G188)</x:f>
      </x:c>
    </x:row>
    <x:row r="189">
      <x:c r="K189" s="17" t="str">
        <x:f>IF($B189="","",IF(COUNTIF('共享事件'!$A$2:$A$301,$B189)&lt;&gt;1,"事件ID缺失或重复",INDEX('共享事件'!$A$2:$M$301,MATCH($B189,'共享事件'!$A$2:$A$301,0),2)))</x:f>
      </x:c>
      <x:c r="L189" s="18" t="str">
        <x:f>IF($B189="","",IF(COUNTIF('共享事件'!$A$2:$A$301,$B189)&lt;&gt;1,"事件ID缺失或重复",INDEX('共享事件'!$A$2:$M$301,MATCH($B189,'共享事件'!$A$2:$A$301,0),3)))</x:f>
      </x:c>
      <x:c r="M189" s="18" t="str">
        <x:f>IF($B189="","",IF(COUNTIF('共享事件'!$A$2:$A$301,$B189)&lt;&gt;1,"事件ID缺失或重复",INDEX('共享事件'!$A$2:$M$301,MATCH($B189,'共享事件'!$A$2:$A$301,0),4)))</x:f>
      </x:c>
      <x:c r="N189" s="17" t="str">
        <x:f>IF($B189="","",IF(COUNTIF('共享事件'!$A$2:$A$301,$B189)&lt;&gt;1,"事件ID缺失或重复",INDEX('共享事件'!$A$2:$M$301,MATCH($B189,'共享事件'!$A$2:$A$301,0),7)))</x:f>
      </x:c>
      <x:c r="O189" s="17" t="n">
        <x:f>IF($A189="",0,IF(AND($C189='季度总览'!$D$3,$L189='季度总览'!$B$3,OR('季度总览'!$F$3="全部",$D189='季度总览'!$F$3,$D189="全国",$D189="全球")),1,0))</x:f>
        <x:v>0</x:v>
      </x:c>
      <x:c r="P189" s="17" t="str">
        <x:f>IF($A189="","",$K189&amp;"【"&amp;$N189&amp;"】"&amp;CHAR(10)&amp;$D189&amp;"："&amp;$G189)</x:f>
      </x:c>
    </x:row>
    <x:row r="190">
      <x:c r="K190" s="17" t="str">
        <x:f>IF($B190="","",IF(COUNTIF('共享事件'!$A$2:$A$301,$B190)&lt;&gt;1,"事件ID缺失或重复",INDEX('共享事件'!$A$2:$M$301,MATCH($B190,'共享事件'!$A$2:$A$301,0),2)))</x:f>
      </x:c>
      <x:c r="L190" s="18" t="str">
        <x:f>IF($B190="","",IF(COUNTIF('共享事件'!$A$2:$A$301,$B190)&lt;&gt;1,"事件ID缺失或重复",INDEX('共享事件'!$A$2:$M$301,MATCH($B190,'共享事件'!$A$2:$A$301,0),3)))</x:f>
      </x:c>
      <x:c r="M190" s="18" t="str">
        <x:f>IF($B190="","",IF(COUNTIF('共享事件'!$A$2:$A$301,$B190)&lt;&gt;1,"事件ID缺失或重复",INDEX('共享事件'!$A$2:$M$301,MATCH($B190,'共享事件'!$A$2:$A$301,0),4)))</x:f>
      </x:c>
      <x:c r="N190" s="17" t="str">
        <x:f>IF($B190="","",IF(COUNTIF('共享事件'!$A$2:$A$301,$B190)&lt;&gt;1,"事件ID缺失或重复",INDEX('共享事件'!$A$2:$M$301,MATCH($B190,'共享事件'!$A$2:$A$301,0),7)))</x:f>
      </x:c>
      <x:c r="O190" s="17" t="n">
        <x:f>IF($A190="",0,IF(AND($C190='季度总览'!$D$3,$L190='季度总览'!$B$3,OR('季度总览'!$F$3="全部",$D190='季度总览'!$F$3,$D190="全国",$D190="全球")),1,0))</x:f>
        <x:v>0</x:v>
      </x:c>
      <x:c r="P190" s="17" t="str">
        <x:f>IF($A190="","",$K190&amp;"【"&amp;$N190&amp;"】"&amp;CHAR(10)&amp;$D190&amp;"："&amp;$G190)</x:f>
      </x:c>
    </x:row>
    <x:row r="191">
      <x:c r="K191" s="17" t="str">
        <x:f>IF($B191="","",IF(COUNTIF('共享事件'!$A$2:$A$301,$B191)&lt;&gt;1,"事件ID缺失或重复",INDEX('共享事件'!$A$2:$M$301,MATCH($B191,'共享事件'!$A$2:$A$301,0),2)))</x:f>
      </x:c>
      <x:c r="L191" s="18" t="str">
        <x:f>IF($B191="","",IF(COUNTIF('共享事件'!$A$2:$A$301,$B191)&lt;&gt;1,"事件ID缺失或重复",INDEX('共享事件'!$A$2:$M$301,MATCH($B191,'共享事件'!$A$2:$A$301,0),3)))</x:f>
      </x:c>
      <x:c r="M191" s="18" t="str">
        <x:f>IF($B191="","",IF(COUNTIF('共享事件'!$A$2:$A$301,$B191)&lt;&gt;1,"事件ID缺失或重复",INDEX('共享事件'!$A$2:$M$301,MATCH($B191,'共享事件'!$A$2:$A$301,0),4)))</x:f>
      </x:c>
      <x:c r="N191" s="17" t="str">
        <x:f>IF($B191="","",IF(COUNTIF('共享事件'!$A$2:$A$301,$B191)&lt;&gt;1,"事件ID缺失或重复",INDEX('共享事件'!$A$2:$M$301,MATCH($B191,'共享事件'!$A$2:$A$301,0),7)))</x:f>
      </x:c>
      <x:c r="O191" s="17" t="n">
        <x:f>IF($A191="",0,IF(AND($C191='季度总览'!$D$3,$L191='季度总览'!$B$3,OR('季度总览'!$F$3="全部",$D191='季度总览'!$F$3,$D191="全国",$D191="全球")),1,0))</x:f>
        <x:v>0</x:v>
      </x:c>
      <x:c r="P191" s="17" t="str">
        <x:f>IF($A191="","",$K191&amp;"【"&amp;$N191&amp;"】"&amp;CHAR(10)&amp;$D191&amp;"："&amp;$G191)</x:f>
      </x:c>
    </x:row>
    <x:row r="192">
      <x:c r="K192" s="17" t="str">
        <x:f>IF($B192="","",IF(COUNTIF('共享事件'!$A$2:$A$301,$B192)&lt;&gt;1,"事件ID缺失或重复",INDEX('共享事件'!$A$2:$M$301,MATCH($B192,'共享事件'!$A$2:$A$301,0),2)))</x:f>
      </x:c>
      <x:c r="L192" s="18" t="str">
        <x:f>IF($B192="","",IF(COUNTIF('共享事件'!$A$2:$A$301,$B192)&lt;&gt;1,"事件ID缺失或重复",INDEX('共享事件'!$A$2:$M$301,MATCH($B192,'共享事件'!$A$2:$A$301,0),3)))</x:f>
      </x:c>
      <x:c r="M192" s="18" t="str">
        <x:f>IF($B192="","",IF(COUNTIF('共享事件'!$A$2:$A$301,$B192)&lt;&gt;1,"事件ID缺失或重复",INDEX('共享事件'!$A$2:$M$301,MATCH($B192,'共享事件'!$A$2:$A$301,0),4)))</x:f>
      </x:c>
      <x:c r="N192" s="17" t="str">
        <x:f>IF($B192="","",IF(COUNTIF('共享事件'!$A$2:$A$301,$B192)&lt;&gt;1,"事件ID缺失或重复",INDEX('共享事件'!$A$2:$M$301,MATCH($B192,'共享事件'!$A$2:$A$301,0),7)))</x:f>
      </x:c>
      <x:c r="O192" s="17" t="n">
        <x:f>IF($A192="",0,IF(AND($C192='季度总览'!$D$3,$L192='季度总览'!$B$3,OR('季度总览'!$F$3="全部",$D192='季度总览'!$F$3,$D192="全国",$D192="全球")),1,0))</x:f>
        <x:v>0</x:v>
      </x:c>
      <x:c r="P192" s="17" t="str">
        <x:f>IF($A192="","",$K192&amp;"【"&amp;$N192&amp;"】"&amp;CHAR(10)&amp;$D192&amp;"："&amp;$G192)</x:f>
      </x:c>
    </x:row>
    <x:row r="193">
      <x:c r="K193" s="17" t="str">
        <x:f>IF($B193="","",IF(COUNTIF('共享事件'!$A$2:$A$301,$B193)&lt;&gt;1,"事件ID缺失或重复",INDEX('共享事件'!$A$2:$M$301,MATCH($B193,'共享事件'!$A$2:$A$301,0),2)))</x:f>
      </x:c>
      <x:c r="L193" s="18" t="str">
        <x:f>IF($B193="","",IF(COUNTIF('共享事件'!$A$2:$A$301,$B193)&lt;&gt;1,"事件ID缺失或重复",INDEX('共享事件'!$A$2:$M$301,MATCH($B193,'共享事件'!$A$2:$A$301,0),3)))</x:f>
      </x:c>
      <x:c r="M193" s="18" t="str">
        <x:f>IF($B193="","",IF(COUNTIF('共享事件'!$A$2:$A$301,$B193)&lt;&gt;1,"事件ID缺失或重复",INDEX('共享事件'!$A$2:$M$301,MATCH($B193,'共享事件'!$A$2:$A$301,0),4)))</x:f>
      </x:c>
      <x:c r="N193" s="17" t="str">
        <x:f>IF($B193="","",IF(COUNTIF('共享事件'!$A$2:$A$301,$B193)&lt;&gt;1,"事件ID缺失或重复",INDEX('共享事件'!$A$2:$M$301,MATCH($B193,'共享事件'!$A$2:$A$301,0),7)))</x:f>
      </x:c>
      <x:c r="O193" s="17" t="n">
        <x:f>IF($A193="",0,IF(AND($C193='季度总览'!$D$3,$L193='季度总览'!$B$3,OR('季度总览'!$F$3="全部",$D193='季度总览'!$F$3,$D193="全国",$D193="全球")),1,0))</x:f>
        <x:v>0</x:v>
      </x:c>
      <x:c r="P193" s="17" t="str">
        <x:f>IF($A193="","",$K193&amp;"【"&amp;$N193&amp;"】"&amp;CHAR(10)&amp;$D193&amp;"："&amp;$G193)</x:f>
      </x:c>
    </x:row>
    <x:row r="194">
      <x:c r="K194" s="17" t="str">
        <x:f>IF($B194="","",IF(COUNTIF('共享事件'!$A$2:$A$301,$B194)&lt;&gt;1,"事件ID缺失或重复",INDEX('共享事件'!$A$2:$M$301,MATCH($B194,'共享事件'!$A$2:$A$301,0),2)))</x:f>
      </x:c>
      <x:c r="L194" s="18" t="str">
        <x:f>IF($B194="","",IF(COUNTIF('共享事件'!$A$2:$A$301,$B194)&lt;&gt;1,"事件ID缺失或重复",INDEX('共享事件'!$A$2:$M$301,MATCH($B194,'共享事件'!$A$2:$A$301,0),3)))</x:f>
      </x:c>
      <x:c r="M194" s="18" t="str">
        <x:f>IF($B194="","",IF(COUNTIF('共享事件'!$A$2:$A$301,$B194)&lt;&gt;1,"事件ID缺失或重复",INDEX('共享事件'!$A$2:$M$301,MATCH($B194,'共享事件'!$A$2:$A$301,0),4)))</x:f>
      </x:c>
      <x:c r="N194" s="17" t="str">
        <x:f>IF($B194="","",IF(COUNTIF('共享事件'!$A$2:$A$301,$B194)&lt;&gt;1,"事件ID缺失或重复",INDEX('共享事件'!$A$2:$M$301,MATCH($B194,'共享事件'!$A$2:$A$301,0),7)))</x:f>
      </x:c>
      <x:c r="O194" s="17" t="n">
        <x:f>IF($A194="",0,IF(AND($C194='季度总览'!$D$3,$L194='季度总览'!$B$3,OR('季度总览'!$F$3="全部",$D194='季度总览'!$F$3,$D194="全国",$D194="全球")),1,0))</x:f>
        <x:v>0</x:v>
      </x:c>
      <x:c r="P194" s="17" t="str">
        <x:f>IF($A194="","",$K194&amp;"【"&amp;$N194&amp;"】"&amp;CHAR(10)&amp;$D194&amp;"："&amp;$G194)</x:f>
      </x:c>
    </x:row>
    <x:row r="195">
      <x:c r="K195" s="17" t="str">
        <x:f>IF($B195="","",IF(COUNTIF('共享事件'!$A$2:$A$301,$B195)&lt;&gt;1,"事件ID缺失或重复",INDEX('共享事件'!$A$2:$M$301,MATCH($B195,'共享事件'!$A$2:$A$301,0),2)))</x:f>
      </x:c>
      <x:c r="L195" s="18" t="str">
        <x:f>IF($B195="","",IF(COUNTIF('共享事件'!$A$2:$A$301,$B195)&lt;&gt;1,"事件ID缺失或重复",INDEX('共享事件'!$A$2:$M$301,MATCH($B195,'共享事件'!$A$2:$A$301,0),3)))</x:f>
      </x:c>
      <x:c r="M195" s="18" t="str">
        <x:f>IF($B195="","",IF(COUNTIF('共享事件'!$A$2:$A$301,$B195)&lt;&gt;1,"事件ID缺失或重复",INDEX('共享事件'!$A$2:$M$301,MATCH($B195,'共享事件'!$A$2:$A$301,0),4)))</x:f>
      </x:c>
      <x:c r="N195" s="17" t="str">
        <x:f>IF($B195="","",IF(COUNTIF('共享事件'!$A$2:$A$301,$B195)&lt;&gt;1,"事件ID缺失或重复",INDEX('共享事件'!$A$2:$M$301,MATCH($B195,'共享事件'!$A$2:$A$301,0),7)))</x:f>
      </x:c>
      <x:c r="O195" s="17" t="n">
        <x:f>IF($A195="",0,IF(AND($C195='季度总览'!$D$3,$L195='季度总览'!$B$3,OR('季度总览'!$F$3="全部",$D195='季度总览'!$F$3,$D195="全国",$D195="全球")),1,0))</x:f>
        <x:v>0</x:v>
      </x:c>
      <x:c r="P195" s="17" t="str">
        <x:f>IF($A195="","",$K195&amp;"【"&amp;$N195&amp;"】"&amp;CHAR(10)&amp;$D195&amp;"："&amp;$G195)</x:f>
      </x:c>
    </x:row>
    <x:row r="196">
      <x:c r="K196" s="17" t="str">
        <x:f>IF($B196="","",IF(COUNTIF('共享事件'!$A$2:$A$301,$B196)&lt;&gt;1,"事件ID缺失或重复",INDEX('共享事件'!$A$2:$M$301,MATCH($B196,'共享事件'!$A$2:$A$301,0),2)))</x:f>
      </x:c>
      <x:c r="L196" s="18" t="str">
        <x:f>IF($B196="","",IF(COUNTIF('共享事件'!$A$2:$A$301,$B196)&lt;&gt;1,"事件ID缺失或重复",INDEX('共享事件'!$A$2:$M$301,MATCH($B196,'共享事件'!$A$2:$A$301,0),3)))</x:f>
      </x:c>
      <x:c r="M196" s="18" t="str">
        <x:f>IF($B196="","",IF(COUNTIF('共享事件'!$A$2:$A$301,$B196)&lt;&gt;1,"事件ID缺失或重复",INDEX('共享事件'!$A$2:$M$301,MATCH($B196,'共享事件'!$A$2:$A$301,0),4)))</x:f>
      </x:c>
      <x:c r="N196" s="17" t="str">
        <x:f>IF($B196="","",IF(COUNTIF('共享事件'!$A$2:$A$301,$B196)&lt;&gt;1,"事件ID缺失或重复",INDEX('共享事件'!$A$2:$M$301,MATCH($B196,'共享事件'!$A$2:$A$301,0),7)))</x:f>
      </x:c>
      <x:c r="O196" s="17" t="n">
        <x:f>IF($A196="",0,IF(AND($C196='季度总览'!$D$3,$L196='季度总览'!$B$3,OR('季度总览'!$F$3="全部",$D196='季度总览'!$F$3,$D196="全国",$D196="全球")),1,0))</x:f>
        <x:v>0</x:v>
      </x:c>
      <x:c r="P196" s="17" t="str">
        <x:f>IF($A196="","",$K196&amp;"【"&amp;$N196&amp;"】"&amp;CHAR(10)&amp;$D196&amp;"："&amp;$G196)</x:f>
      </x:c>
    </x:row>
    <x:row r="197">
      <x:c r="K197" s="17" t="str">
        <x:f>IF($B197="","",IF(COUNTIF('共享事件'!$A$2:$A$301,$B197)&lt;&gt;1,"事件ID缺失或重复",INDEX('共享事件'!$A$2:$M$301,MATCH($B197,'共享事件'!$A$2:$A$301,0),2)))</x:f>
      </x:c>
      <x:c r="L197" s="18" t="str">
        <x:f>IF($B197="","",IF(COUNTIF('共享事件'!$A$2:$A$301,$B197)&lt;&gt;1,"事件ID缺失或重复",INDEX('共享事件'!$A$2:$M$301,MATCH($B197,'共享事件'!$A$2:$A$301,0),3)))</x:f>
      </x:c>
      <x:c r="M197" s="18" t="str">
        <x:f>IF($B197="","",IF(COUNTIF('共享事件'!$A$2:$A$301,$B197)&lt;&gt;1,"事件ID缺失或重复",INDEX('共享事件'!$A$2:$M$301,MATCH($B197,'共享事件'!$A$2:$A$301,0),4)))</x:f>
      </x:c>
      <x:c r="N197" s="17" t="str">
        <x:f>IF($B197="","",IF(COUNTIF('共享事件'!$A$2:$A$301,$B197)&lt;&gt;1,"事件ID缺失或重复",INDEX('共享事件'!$A$2:$M$301,MATCH($B197,'共享事件'!$A$2:$A$301,0),7)))</x:f>
      </x:c>
      <x:c r="O197" s="17" t="n">
        <x:f>IF($A197="",0,IF(AND($C197='季度总览'!$D$3,$L197='季度总览'!$B$3,OR('季度总览'!$F$3="全部",$D197='季度总览'!$F$3,$D197="全国",$D197="全球")),1,0))</x:f>
        <x:v>0</x:v>
      </x:c>
      <x:c r="P197" s="17" t="str">
        <x:f>IF($A197="","",$K197&amp;"【"&amp;$N197&amp;"】"&amp;CHAR(10)&amp;$D197&amp;"："&amp;$G197)</x:f>
      </x:c>
    </x:row>
    <x:row r="198">
      <x:c r="K198" s="17" t="str">
        <x:f>IF($B198="","",IF(COUNTIF('共享事件'!$A$2:$A$301,$B198)&lt;&gt;1,"事件ID缺失或重复",INDEX('共享事件'!$A$2:$M$301,MATCH($B198,'共享事件'!$A$2:$A$301,0),2)))</x:f>
      </x:c>
      <x:c r="L198" s="18" t="str">
        <x:f>IF($B198="","",IF(COUNTIF('共享事件'!$A$2:$A$301,$B198)&lt;&gt;1,"事件ID缺失或重复",INDEX('共享事件'!$A$2:$M$301,MATCH($B198,'共享事件'!$A$2:$A$301,0),3)))</x:f>
      </x:c>
      <x:c r="M198" s="18" t="str">
        <x:f>IF($B198="","",IF(COUNTIF('共享事件'!$A$2:$A$301,$B198)&lt;&gt;1,"事件ID缺失或重复",INDEX('共享事件'!$A$2:$M$301,MATCH($B198,'共享事件'!$A$2:$A$301,0),4)))</x:f>
      </x:c>
      <x:c r="N198" s="17" t="str">
        <x:f>IF($B198="","",IF(COUNTIF('共享事件'!$A$2:$A$301,$B198)&lt;&gt;1,"事件ID缺失或重复",INDEX('共享事件'!$A$2:$M$301,MATCH($B198,'共享事件'!$A$2:$A$301,0),7)))</x:f>
      </x:c>
      <x:c r="O198" s="17" t="n">
        <x:f>IF($A198="",0,IF(AND($C198='季度总览'!$D$3,$L198='季度总览'!$B$3,OR('季度总览'!$F$3="全部",$D198='季度总览'!$F$3,$D198="全国",$D198="全球")),1,0))</x:f>
        <x:v>0</x:v>
      </x:c>
      <x:c r="P198" s="17" t="str">
        <x:f>IF($A198="","",$K198&amp;"【"&amp;$N198&amp;"】"&amp;CHAR(10)&amp;$D198&amp;"："&amp;$G198)</x:f>
      </x:c>
    </x:row>
    <x:row r="199">
      <x:c r="K199" s="17" t="str">
        <x:f>IF($B199="","",IF(COUNTIF('共享事件'!$A$2:$A$301,$B199)&lt;&gt;1,"事件ID缺失或重复",INDEX('共享事件'!$A$2:$M$301,MATCH($B199,'共享事件'!$A$2:$A$301,0),2)))</x:f>
      </x:c>
      <x:c r="L199" s="18" t="str">
        <x:f>IF($B199="","",IF(COUNTIF('共享事件'!$A$2:$A$301,$B199)&lt;&gt;1,"事件ID缺失或重复",INDEX('共享事件'!$A$2:$M$301,MATCH($B199,'共享事件'!$A$2:$A$301,0),3)))</x:f>
      </x:c>
      <x:c r="M199" s="18" t="str">
        <x:f>IF($B199="","",IF(COUNTIF('共享事件'!$A$2:$A$301,$B199)&lt;&gt;1,"事件ID缺失或重复",INDEX('共享事件'!$A$2:$M$301,MATCH($B199,'共享事件'!$A$2:$A$301,0),4)))</x:f>
      </x:c>
      <x:c r="N199" s="17" t="str">
        <x:f>IF($B199="","",IF(COUNTIF('共享事件'!$A$2:$A$301,$B199)&lt;&gt;1,"事件ID缺失或重复",INDEX('共享事件'!$A$2:$M$301,MATCH($B199,'共享事件'!$A$2:$A$301,0),7)))</x:f>
      </x:c>
      <x:c r="O199" s="17" t="n">
        <x:f>IF($A199="",0,IF(AND($C199='季度总览'!$D$3,$L199='季度总览'!$B$3,OR('季度总览'!$F$3="全部",$D199='季度总览'!$F$3,$D199="全国",$D199="全球")),1,0))</x:f>
        <x:v>0</x:v>
      </x:c>
      <x:c r="P199" s="17" t="str">
        <x:f>IF($A199="","",$K199&amp;"【"&amp;$N199&amp;"】"&amp;CHAR(10)&amp;$D199&amp;"："&amp;$G199)</x:f>
      </x:c>
    </x:row>
    <x:row r="200">
      <x:c r="K200" s="17" t="str">
        <x:f>IF($B200="","",IF(COUNTIF('共享事件'!$A$2:$A$301,$B200)&lt;&gt;1,"事件ID缺失或重复",INDEX('共享事件'!$A$2:$M$301,MATCH($B200,'共享事件'!$A$2:$A$301,0),2)))</x:f>
      </x:c>
      <x:c r="L200" s="18" t="str">
        <x:f>IF($B200="","",IF(COUNTIF('共享事件'!$A$2:$A$301,$B200)&lt;&gt;1,"事件ID缺失或重复",INDEX('共享事件'!$A$2:$M$301,MATCH($B200,'共享事件'!$A$2:$A$301,0),3)))</x:f>
      </x:c>
      <x:c r="M200" s="18" t="str">
        <x:f>IF($B200="","",IF(COUNTIF('共享事件'!$A$2:$A$301,$B200)&lt;&gt;1,"事件ID缺失或重复",INDEX('共享事件'!$A$2:$M$301,MATCH($B200,'共享事件'!$A$2:$A$301,0),4)))</x:f>
      </x:c>
      <x:c r="N200" s="17" t="str">
        <x:f>IF($B200="","",IF(COUNTIF('共享事件'!$A$2:$A$301,$B200)&lt;&gt;1,"事件ID缺失或重复",INDEX('共享事件'!$A$2:$M$301,MATCH($B200,'共享事件'!$A$2:$A$301,0),7)))</x:f>
      </x:c>
      <x:c r="O200" s="17" t="n">
        <x:f>IF($A200="",0,IF(AND($C200='季度总览'!$D$3,$L200='季度总览'!$B$3,OR('季度总览'!$F$3="全部",$D200='季度总览'!$F$3,$D200="全国",$D200="全球")),1,0))</x:f>
        <x:v>0</x:v>
      </x:c>
      <x:c r="P200" s="17" t="str">
        <x:f>IF($A200="","",$K200&amp;"【"&amp;$N200&amp;"】"&amp;CHAR(10)&amp;$D200&amp;"："&amp;$G200)</x:f>
      </x:c>
    </x:row>
    <x:row r="201">
      <x:c r="K201" s="17" t="str">
        <x:f>IF($B201="","",IF(COUNTIF('共享事件'!$A$2:$A$301,$B201)&lt;&gt;1,"事件ID缺失或重复",INDEX('共享事件'!$A$2:$M$301,MATCH($B201,'共享事件'!$A$2:$A$301,0),2)))</x:f>
      </x:c>
      <x:c r="L201" s="18" t="str">
        <x:f>IF($B201="","",IF(COUNTIF('共享事件'!$A$2:$A$301,$B201)&lt;&gt;1,"事件ID缺失或重复",INDEX('共享事件'!$A$2:$M$301,MATCH($B201,'共享事件'!$A$2:$A$301,0),3)))</x:f>
      </x:c>
      <x:c r="M201" s="18" t="str">
        <x:f>IF($B201="","",IF(COUNTIF('共享事件'!$A$2:$A$301,$B201)&lt;&gt;1,"事件ID缺失或重复",INDEX('共享事件'!$A$2:$M$301,MATCH($B201,'共享事件'!$A$2:$A$301,0),4)))</x:f>
      </x:c>
      <x:c r="N201" s="17" t="str">
        <x:f>IF($B201="","",IF(COUNTIF('共享事件'!$A$2:$A$301,$B201)&lt;&gt;1,"事件ID缺失或重复",INDEX('共享事件'!$A$2:$M$301,MATCH($B201,'共享事件'!$A$2:$A$301,0),7)))</x:f>
      </x:c>
      <x:c r="O201" s="17" t="n">
        <x:f>IF($A201="",0,IF(AND($C201='季度总览'!$D$3,$L201='季度总览'!$B$3,OR('季度总览'!$F$3="全部",$D201='季度总览'!$F$3,$D201="全国",$D201="全球")),1,0))</x:f>
        <x:v>0</x:v>
      </x:c>
      <x:c r="P201" s="17" t="str">
        <x:f>IF($A201="","",$K201&amp;"【"&amp;$N201&amp;"】"&amp;CHAR(10)&amp;$D201&amp;"："&amp;$G201)</x:f>
      </x:c>
    </x:row>
    <x:row r="202">
      <x:c r="K202" s="17" t="str">
        <x:f>IF($B202="","",IF(COUNTIF('共享事件'!$A$2:$A$301,$B202)&lt;&gt;1,"事件ID缺失或重复",INDEX('共享事件'!$A$2:$M$301,MATCH($B202,'共享事件'!$A$2:$A$301,0),2)))</x:f>
      </x:c>
      <x:c r="L202" s="18" t="str">
        <x:f>IF($B202="","",IF(COUNTIF('共享事件'!$A$2:$A$301,$B202)&lt;&gt;1,"事件ID缺失或重复",INDEX('共享事件'!$A$2:$M$301,MATCH($B202,'共享事件'!$A$2:$A$301,0),3)))</x:f>
      </x:c>
      <x:c r="M202" s="18" t="str">
        <x:f>IF($B202="","",IF(COUNTIF('共享事件'!$A$2:$A$301,$B202)&lt;&gt;1,"事件ID缺失或重复",INDEX('共享事件'!$A$2:$M$301,MATCH($B202,'共享事件'!$A$2:$A$301,0),4)))</x:f>
      </x:c>
      <x:c r="N202" s="17" t="str">
        <x:f>IF($B202="","",IF(COUNTIF('共享事件'!$A$2:$A$301,$B202)&lt;&gt;1,"事件ID缺失或重复",INDEX('共享事件'!$A$2:$M$301,MATCH($B202,'共享事件'!$A$2:$A$301,0),7)))</x:f>
      </x:c>
      <x:c r="O202" s="17" t="n">
        <x:f>IF($A202="",0,IF(AND($C202='季度总览'!$D$3,$L202='季度总览'!$B$3,OR('季度总览'!$F$3="全部",$D202='季度总览'!$F$3,$D202="全国",$D202="全球")),1,0))</x:f>
        <x:v>0</x:v>
      </x:c>
      <x:c r="P202" s="17" t="str">
        <x:f>IF($A202="","",$K202&amp;"【"&amp;$N202&amp;"】"&amp;CHAR(10)&amp;$D202&amp;"："&amp;$G202)</x:f>
      </x:c>
    </x:row>
    <x:row r="203">
      <x:c r="K203" s="17" t="str">
        <x:f>IF($B203="","",IF(COUNTIF('共享事件'!$A$2:$A$301,$B203)&lt;&gt;1,"事件ID缺失或重复",INDEX('共享事件'!$A$2:$M$301,MATCH($B203,'共享事件'!$A$2:$A$301,0),2)))</x:f>
      </x:c>
      <x:c r="L203" s="18" t="str">
        <x:f>IF($B203="","",IF(COUNTIF('共享事件'!$A$2:$A$301,$B203)&lt;&gt;1,"事件ID缺失或重复",INDEX('共享事件'!$A$2:$M$301,MATCH($B203,'共享事件'!$A$2:$A$301,0),3)))</x:f>
      </x:c>
      <x:c r="M203" s="18" t="str">
        <x:f>IF($B203="","",IF(COUNTIF('共享事件'!$A$2:$A$301,$B203)&lt;&gt;1,"事件ID缺失或重复",INDEX('共享事件'!$A$2:$M$301,MATCH($B203,'共享事件'!$A$2:$A$301,0),4)))</x:f>
      </x:c>
      <x:c r="N203" s="17" t="str">
        <x:f>IF($B203="","",IF(COUNTIF('共享事件'!$A$2:$A$301,$B203)&lt;&gt;1,"事件ID缺失或重复",INDEX('共享事件'!$A$2:$M$301,MATCH($B203,'共享事件'!$A$2:$A$301,0),7)))</x:f>
      </x:c>
      <x:c r="O203" s="17" t="n">
        <x:f>IF($A203="",0,IF(AND($C203='季度总览'!$D$3,$L203='季度总览'!$B$3,OR('季度总览'!$F$3="全部",$D203='季度总览'!$F$3,$D203="全国",$D203="全球")),1,0))</x:f>
        <x:v>0</x:v>
      </x:c>
      <x:c r="P203" s="17" t="str">
        <x:f>IF($A203="","",$K203&amp;"【"&amp;$N203&amp;"】"&amp;CHAR(10)&amp;$D203&amp;"："&amp;$G203)</x:f>
      </x:c>
    </x:row>
    <x:row r="204">
      <x:c r="K204" s="17" t="str">
        <x:f>IF($B204="","",IF(COUNTIF('共享事件'!$A$2:$A$301,$B204)&lt;&gt;1,"事件ID缺失或重复",INDEX('共享事件'!$A$2:$M$301,MATCH($B204,'共享事件'!$A$2:$A$301,0),2)))</x:f>
      </x:c>
      <x:c r="L204" s="18" t="str">
        <x:f>IF($B204="","",IF(COUNTIF('共享事件'!$A$2:$A$301,$B204)&lt;&gt;1,"事件ID缺失或重复",INDEX('共享事件'!$A$2:$M$301,MATCH($B204,'共享事件'!$A$2:$A$301,0),3)))</x:f>
      </x:c>
      <x:c r="M204" s="18" t="str">
        <x:f>IF($B204="","",IF(COUNTIF('共享事件'!$A$2:$A$301,$B204)&lt;&gt;1,"事件ID缺失或重复",INDEX('共享事件'!$A$2:$M$301,MATCH($B204,'共享事件'!$A$2:$A$301,0),4)))</x:f>
      </x:c>
      <x:c r="N204" s="17" t="str">
        <x:f>IF($B204="","",IF(COUNTIF('共享事件'!$A$2:$A$301,$B204)&lt;&gt;1,"事件ID缺失或重复",INDEX('共享事件'!$A$2:$M$301,MATCH($B204,'共享事件'!$A$2:$A$301,0),7)))</x:f>
      </x:c>
      <x:c r="O204" s="17" t="n">
        <x:f>IF($A204="",0,IF(AND($C204='季度总览'!$D$3,$L204='季度总览'!$B$3,OR('季度总览'!$F$3="全部",$D204='季度总览'!$F$3,$D204="全国",$D204="全球")),1,0))</x:f>
        <x:v>0</x:v>
      </x:c>
      <x:c r="P204" s="17" t="str">
        <x:f>IF($A204="","",$K204&amp;"【"&amp;$N204&amp;"】"&amp;CHAR(10)&amp;$D204&amp;"："&amp;$G204)</x:f>
      </x:c>
    </x:row>
    <x:row r="205">
      <x:c r="K205" s="17" t="str">
        <x:f>IF($B205="","",IF(COUNTIF('共享事件'!$A$2:$A$301,$B205)&lt;&gt;1,"事件ID缺失或重复",INDEX('共享事件'!$A$2:$M$301,MATCH($B205,'共享事件'!$A$2:$A$301,0),2)))</x:f>
      </x:c>
      <x:c r="L205" s="18" t="str">
        <x:f>IF($B205="","",IF(COUNTIF('共享事件'!$A$2:$A$301,$B205)&lt;&gt;1,"事件ID缺失或重复",INDEX('共享事件'!$A$2:$M$301,MATCH($B205,'共享事件'!$A$2:$A$301,0),3)))</x:f>
      </x:c>
      <x:c r="M205" s="18" t="str">
        <x:f>IF($B205="","",IF(COUNTIF('共享事件'!$A$2:$A$301,$B205)&lt;&gt;1,"事件ID缺失或重复",INDEX('共享事件'!$A$2:$M$301,MATCH($B205,'共享事件'!$A$2:$A$301,0),4)))</x:f>
      </x:c>
      <x:c r="N205" s="17" t="str">
        <x:f>IF($B205="","",IF(COUNTIF('共享事件'!$A$2:$A$301,$B205)&lt;&gt;1,"事件ID缺失或重复",INDEX('共享事件'!$A$2:$M$301,MATCH($B205,'共享事件'!$A$2:$A$301,0),7)))</x:f>
      </x:c>
      <x:c r="O205" s="17" t="n">
        <x:f>IF($A205="",0,IF(AND($C205='季度总览'!$D$3,$L205='季度总览'!$B$3,OR('季度总览'!$F$3="全部",$D205='季度总览'!$F$3,$D205="全国",$D205="全球")),1,0))</x:f>
        <x:v>0</x:v>
      </x:c>
      <x:c r="P205" s="17" t="str">
        <x:f>IF($A205="","",$K205&amp;"【"&amp;$N205&amp;"】"&amp;CHAR(10)&amp;$D205&amp;"："&amp;$G205)</x:f>
      </x:c>
    </x:row>
    <x:row r="206">
      <x:c r="K206" s="17" t="str">
        <x:f>IF($B206="","",IF(COUNTIF('共享事件'!$A$2:$A$301,$B206)&lt;&gt;1,"事件ID缺失或重复",INDEX('共享事件'!$A$2:$M$301,MATCH($B206,'共享事件'!$A$2:$A$301,0),2)))</x:f>
      </x:c>
      <x:c r="L206" s="18" t="str">
        <x:f>IF($B206="","",IF(COUNTIF('共享事件'!$A$2:$A$301,$B206)&lt;&gt;1,"事件ID缺失或重复",INDEX('共享事件'!$A$2:$M$301,MATCH($B206,'共享事件'!$A$2:$A$301,0),3)))</x:f>
      </x:c>
      <x:c r="M206" s="18" t="str">
        <x:f>IF($B206="","",IF(COUNTIF('共享事件'!$A$2:$A$301,$B206)&lt;&gt;1,"事件ID缺失或重复",INDEX('共享事件'!$A$2:$M$301,MATCH($B206,'共享事件'!$A$2:$A$301,0),4)))</x:f>
      </x:c>
      <x:c r="N206" s="17" t="str">
        <x:f>IF($B206="","",IF(COUNTIF('共享事件'!$A$2:$A$301,$B206)&lt;&gt;1,"事件ID缺失或重复",INDEX('共享事件'!$A$2:$M$301,MATCH($B206,'共享事件'!$A$2:$A$301,0),7)))</x:f>
      </x:c>
      <x:c r="O206" s="17" t="n">
        <x:f>IF($A206="",0,IF(AND($C206='季度总览'!$D$3,$L206='季度总览'!$B$3,OR('季度总览'!$F$3="全部",$D206='季度总览'!$F$3,$D206="全国",$D206="全球")),1,0))</x:f>
        <x:v>0</x:v>
      </x:c>
      <x:c r="P206" s="17" t="str">
        <x:f>IF($A206="","",$K206&amp;"【"&amp;$N206&amp;"】"&amp;CHAR(10)&amp;$D206&amp;"："&amp;$G206)</x:f>
      </x:c>
    </x:row>
    <x:row r="207">
      <x:c r="K207" s="17" t="str">
        <x:f>IF($B207="","",IF(COUNTIF('共享事件'!$A$2:$A$301,$B207)&lt;&gt;1,"事件ID缺失或重复",INDEX('共享事件'!$A$2:$M$301,MATCH($B207,'共享事件'!$A$2:$A$301,0),2)))</x:f>
      </x:c>
      <x:c r="L207" s="18" t="str">
        <x:f>IF($B207="","",IF(COUNTIF('共享事件'!$A$2:$A$301,$B207)&lt;&gt;1,"事件ID缺失或重复",INDEX('共享事件'!$A$2:$M$301,MATCH($B207,'共享事件'!$A$2:$A$301,0),3)))</x:f>
      </x:c>
      <x:c r="M207" s="18" t="str">
        <x:f>IF($B207="","",IF(COUNTIF('共享事件'!$A$2:$A$301,$B207)&lt;&gt;1,"事件ID缺失或重复",INDEX('共享事件'!$A$2:$M$301,MATCH($B207,'共享事件'!$A$2:$A$301,0),4)))</x:f>
      </x:c>
      <x:c r="N207" s="17" t="str">
        <x:f>IF($B207="","",IF(COUNTIF('共享事件'!$A$2:$A$301,$B207)&lt;&gt;1,"事件ID缺失或重复",INDEX('共享事件'!$A$2:$M$301,MATCH($B207,'共享事件'!$A$2:$A$301,0),7)))</x:f>
      </x:c>
      <x:c r="O207" s="17" t="n">
        <x:f>IF($A207="",0,IF(AND($C207='季度总览'!$D$3,$L207='季度总览'!$B$3,OR('季度总览'!$F$3="全部",$D207='季度总览'!$F$3,$D207="全国",$D207="全球")),1,0))</x:f>
        <x:v>0</x:v>
      </x:c>
      <x:c r="P207" s="17" t="str">
        <x:f>IF($A207="","",$K207&amp;"【"&amp;$N207&amp;"】"&amp;CHAR(10)&amp;$D207&amp;"："&amp;$G207)</x:f>
      </x:c>
    </x:row>
    <x:row r="208">
      <x:c r="K208" s="17" t="str">
        <x:f>IF($B208="","",IF(COUNTIF('共享事件'!$A$2:$A$301,$B208)&lt;&gt;1,"事件ID缺失或重复",INDEX('共享事件'!$A$2:$M$301,MATCH($B208,'共享事件'!$A$2:$A$301,0),2)))</x:f>
      </x:c>
      <x:c r="L208" s="18" t="str">
        <x:f>IF($B208="","",IF(COUNTIF('共享事件'!$A$2:$A$301,$B208)&lt;&gt;1,"事件ID缺失或重复",INDEX('共享事件'!$A$2:$M$301,MATCH($B208,'共享事件'!$A$2:$A$301,0),3)))</x:f>
      </x:c>
      <x:c r="M208" s="18" t="str">
        <x:f>IF($B208="","",IF(COUNTIF('共享事件'!$A$2:$A$301,$B208)&lt;&gt;1,"事件ID缺失或重复",INDEX('共享事件'!$A$2:$M$301,MATCH($B208,'共享事件'!$A$2:$A$301,0),4)))</x:f>
      </x:c>
      <x:c r="N208" s="17" t="str">
        <x:f>IF($B208="","",IF(COUNTIF('共享事件'!$A$2:$A$301,$B208)&lt;&gt;1,"事件ID缺失或重复",INDEX('共享事件'!$A$2:$M$301,MATCH($B208,'共享事件'!$A$2:$A$301,0),7)))</x:f>
      </x:c>
      <x:c r="O208" s="17" t="n">
        <x:f>IF($A208="",0,IF(AND($C208='季度总览'!$D$3,$L208='季度总览'!$B$3,OR('季度总览'!$F$3="全部",$D208='季度总览'!$F$3,$D208="全国",$D208="全球")),1,0))</x:f>
        <x:v>0</x:v>
      </x:c>
      <x:c r="P208" s="17" t="str">
        <x:f>IF($A208="","",$K208&amp;"【"&amp;$N208&amp;"】"&amp;CHAR(10)&amp;$D208&amp;"："&amp;$G208)</x:f>
      </x:c>
    </x:row>
    <x:row r="209">
      <x:c r="K209" s="17" t="str">
        <x:f>IF($B209="","",IF(COUNTIF('共享事件'!$A$2:$A$301,$B209)&lt;&gt;1,"事件ID缺失或重复",INDEX('共享事件'!$A$2:$M$301,MATCH($B209,'共享事件'!$A$2:$A$301,0),2)))</x:f>
      </x:c>
      <x:c r="L209" s="18" t="str">
        <x:f>IF($B209="","",IF(COUNTIF('共享事件'!$A$2:$A$301,$B209)&lt;&gt;1,"事件ID缺失或重复",INDEX('共享事件'!$A$2:$M$301,MATCH($B209,'共享事件'!$A$2:$A$301,0),3)))</x:f>
      </x:c>
      <x:c r="M209" s="18" t="str">
        <x:f>IF($B209="","",IF(COUNTIF('共享事件'!$A$2:$A$301,$B209)&lt;&gt;1,"事件ID缺失或重复",INDEX('共享事件'!$A$2:$M$301,MATCH($B209,'共享事件'!$A$2:$A$301,0),4)))</x:f>
      </x:c>
      <x:c r="N209" s="17" t="str">
        <x:f>IF($B209="","",IF(COUNTIF('共享事件'!$A$2:$A$301,$B209)&lt;&gt;1,"事件ID缺失或重复",INDEX('共享事件'!$A$2:$M$301,MATCH($B209,'共享事件'!$A$2:$A$301,0),7)))</x:f>
      </x:c>
      <x:c r="O209" s="17" t="n">
        <x:f>IF($A209="",0,IF(AND($C209='季度总览'!$D$3,$L209='季度总览'!$B$3,OR('季度总览'!$F$3="全部",$D209='季度总览'!$F$3,$D209="全国",$D209="全球")),1,0))</x:f>
        <x:v>0</x:v>
      </x:c>
      <x:c r="P209" s="17" t="str">
        <x:f>IF($A209="","",$K209&amp;"【"&amp;$N209&amp;"】"&amp;CHAR(10)&amp;$D209&amp;"："&amp;$G209)</x:f>
      </x:c>
    </x:row>
    <x:row r="210">
      <x:c r="K210" s="17" t="str">
        <x:f>IF($B210="","",IF(COUNTIF('共享事件'!$A$2:$A$301,$B210)&lt;&gt;1,"事件ID缺失或重复",INDEX('共享事件'!$A$2:$M$301,MATCH($B210,'共享事件'!$A$2:$A$301,0),2)))</x:f>
      </x:c>
      <x:c r="L210" s="18" t="str">
        <x:f>IF($B210="","",IF(COUNTIF('共享事件'!$A$2:$A$301,$B210)&lt;&gt;1,"事件ID缺失或重复",INDEX('共享事件'!$A$2:$M$301,MATCH($B210,'共享事件'!$A$2:$A$301,0),3)))</x:f>
      </x:c>
      <x:c r="M210" s="18" t="str">
        <x:f>IF($B210="","",IF(COUNTIF('共享事件'!$A$2:$A$301,$B210)&lt;&gt;1,"事件ID缺失或重复",INDEX('共享事件'!$A$2:$M$301,MATCH($B210,'共享事件'!$A$2:$A$301,0),4)))</x:f>
      </x:c>
      <x:c r="N210" s="17" t="str">
        <x:f>IF($B210="","",IF(COUNTIF('共享事件'!$A$2:$A$301,$B210)&lt;&gt;1,"事件ID缺失或重复",INDEX('共享事件'!$A$2:$M$301,MATCH($B210,'共享事件'!$A$2:$A$301,0),7)))</x:f>
      </x:c>
      <x:c r="O210" s="17" t="n">
        <x:f>IF($A210="",0,IF(AND($C210='季度总览'!$D$3,$L210='季度总览'!$B$3,OR('季度总览'!$F$3="全部",$D210='季度总览'!$F$3,$D210="全国",$D210="全球")),1,0))</x:f>
        <x:v>0</x:v>
      </x:c>
      <x:c r="P210" s="17" t="str">
        <x:f>IF($A210="","",$K210&amp;"【"&amp;$N210&amp;"】"&amp;CHAR(10)&amp;$D210&amp;"："&amp;$G210)</x:f>
      </x:c>
    </x:row>
    <x:row r="211">
      <x:c r="K211" s="17" t="str">
        <x:f>IF($B211="","",IF(COUNTIF('共享事件'!$A$2:$A$301,$B211)&lt;&gt;1,"事件ID缺失或重复",INDEX('共享事件'!$A$2:$M$301,MATCH($B211,'共享事件'!$A$2:$A$301,0),2)))</x:f>
      </x:c>
      <x:c r="L211" s="18" t="str">
        <x:f>IF($B211="","",IF(COUNTIF('共享事件'!$A$2:$A$301,$B211)&lt;&gt;1,"事件ID缺失或重复",INDEX('共享事件'!$A$2:$M$301,MATCH($B211,'共享事件'!$A$2:$A$301,0),3)))</x:f>
      </x:c>
      <x:c r="M211" s="18" t="str">
        <x:f>IF($B211="","",IF(COUNTIF('共享事件'!$A$2:$A$301,$B211)&lt;&gt;1,"事件ID缺失或重复",INDEX('共享事件'!$A$2:$M$301,MATCH($B211,'共享事件'!$A$2:$A$301,0),4)))</x:f>
      </x:c>
      <x:c r="N211" s="17" t="str">
        <x:f>IF($B211="","",IF(COUNTIF('共享事件'!$A$2:$A$301,$B211)&lt;&gt;1,"事件ID缺失或重复",INDEX('共享事件'!$A$2:$M$301,MATCH($B211,'共享事件'!$A$2:$A$301,0),7)))</x:f>
      </x:c>
      <x:c r="O211" s="17" t="n">
        <x:f>IF($A211="",0,IF(AND($C211='季度总览'!$D$3,$L211='季度总览'!$B$3,OR('季度总览'!$F$3="全部",$D211='季度总览'!$F$3,$D211="全国",$D211="全球")),1,0))</x:f>
        <x:v>0</x:v>
      </x:c>
      <x:c r="P211" s="17" t="str">
        <x:f>IF($A211="","",$K211&amp;"【"&amp;$N211&amp;"】"&amp;CHAR(10)&amp;$D211&amp;"："&amp;$G211)</x:f>
      </x:c>
    </x:row>
    <x:row r="212">
      <x:c r="K212" s="17" t="str">
        <x:f>IF($B212="","",IF(COUNTIF('共享事件'!$A$2:$A$301,$B212)&lt;&gt;1,"事件ID缺失或重复",INDEX('共享事件'!$A$2:$M$301,MATCH($B212,'共享事件'!$A$2:$A$301,0),2)))</x:f>
      </x:c>
      <x:c r="L212" s="18" t="str">
        <x:f>IF($B212="","",IF(COUNTIF('共享事件'!$A$2:$A$301,$B212)&lt;&gt;1,"事件ID缺失或重复",INDEX('共享事件'!$A$2:$M$301,MATCH($B212,'共享事件'!$A$2:$A$301,0),3)))</x:f>
      </x:c>
      <x:c r="M212" s="18" t="str">
        <x:f>IF($B212="","",IF(COUNTIF('共享事件'!$A$2:$A$301,$B212)&lt;&gt;1,"事件ID缺失或重复",INDEX('共享事件'!$A$2:$M$301,MATCH($B212,'共享事件'!$A$2:$A$301,0),4)))</x:f>
      </x:c>
      <x:c r="N212" s="17" t="str">
        <x:f>IF($B212="","",IF(COUNTIF('共享事件'!$A$2:$A$301,$B212)&lt;&gt;1,"事件ID缺失或重复",INDEX('共享事件'!$A$2:$M$301,MATCH($B212,'共享事件'!$A$2:$A$301,0),7)))</x:f>
      </x:c>
      <x:c r="O212" s="17" t="n">
        <x:f>IF($A212="",0,IF(AND($C212='季度总览'!$D$3,$L212='季度总览'!$B$3,OR('季度总览'!$F$3="全部",$D212='季度总览'!$F$3,$D212="全国",$D212="全球")),1,0))</x:f>
        <x:v>0</x:v>
      </x:c>
      <x:c r="P212" s="17" t="str">
        <x:f>IF($A212="","",$K212&amp;"【"&amp;$N212&amp;"】"&amp;CHAR(10)&amp;$D212&amp;"："&amp;$G212)</x:f>
      </x:c>
    </x:row>
    <x:row r="213">
      <x:c r="K213" s="17" t="str">
        <x:f>IF($B213="","",IF(COUNTIF('共享事件'!$A$2:$A$301,$B213)&lt;&gt;1,"事件ID缺失或重复",INDEX('共享事件'!$A$2:$M$301,MATCH($B213,'共享事件'!$A$2:$A$301,0),2)))</x:f>
      </x:c>
      <x:c r="L213" s="18" t="str">
        <x:f>IF($B213="","",IF(COUNTIF('共享事件'!$A$2:$A$301,$B213)&lt;&gt;1,"事件ID缺失或重复",INDEX('共享事件'!$A$2:$M$301,MATCH($B213,'共享事件'!$A$2:$A$301,0),3)))</x:f>
      </x:c>
      <x:c r="M213" s="18" t="str">
        <x:f>IF($B213="","",IF(COUNTIF('共享事件'!$A$2:$A$301,$B213)&lt;&gt;1,"事件ID缺失或重复",INDEX('共享事件'!$A$2:$M$301,MATCH($B213,'共享事件'!$A$2:$A$301,0),4)))</x:f>
      </x:c>
      <x:c r="N213" s="17" t="str">
        <x:f>IF($B213="","",IF(COUNTIF('共享事件'!$A$2:$A$301,$B213)&lt;&gt;1,"事件ID缺失或重复",INDEX('共享事件'!$A$2:$M$301,MATCH($B213,'共享事件'!$A$2:$A$301,0),7)))</x:f>
      </x:c>
      <x:c r="O213" s="17" t="n">
        <x:f>IF($A213="",0,IF(AND($C213='季度总览'!$D$3,$L213='季度总览'!$B$3,OR('季度总览'!$F$3="全部",$D213='季度总览'!$F$3,$D213="全国",$D213="全球")),1,0))</x:f>
        <x:v>0</x:v>
      </x:c>
      <x:c r="P213" s="17" t="str">
        <x:f>IF($A213="","",$K213&amp;"【"&amp;$N213&amp;"】"&amp;CHAR(10)&amp;$D213&amp;"："&amp;$G213)</x:f>
      </x:c>
    </x:row>
    <x:row r="214">
      <x:c r="K214" s="17" t="str">
        <x:f>IF($B214="","",IF(COUNTIF('共享事件'!$A$2:$A$301,$B214)&lt;&gt;1,"事件ID缺失或重复",INDEX('共享事件'!$A$2:$M$301,MATCH($B214,'共享事件'!$A$2:$A$301,0),2)))</x:f>
      </x:c>
      <x:c r="L214" s="18" t="str">
        <x:f>IF($B214="","",IF(COUNTIF('共享事件'!$A$2:$A$301,$B214)&lt;&gt;1,"事件ID缺失或重复",INDEX('共享事件'!$A$2:$M$301,MATCH($B214,'共享事件'!$A$2:$A$301,0),3)))</x:f>
      </x:c>
      <x:c r="M214" s="18" t="str">
        <x:f>IF($B214="","",IF(COUNTIF('共享事件'!$A$2:$A$301,$B214)&lt;&gt;1,"事件ID缺失或重复",INDEX('共享事件'!$A$2:$M$301,MATCH($B214,'共享事件'!$A$2:$A$301,0),4)))</x:f>
      </x:c>
      <x:c r="N214" s="17" t="str">
        <x:f>IF($B214="","",IF(COUNTIF('共享事件'!$A$2:$A$301,$B214)&lt;&gt;1,"事件ID缺失或重复",INDEX('共享事件'!$A$2:$M$301,MATCH($B214,'共享事件'!$A$2:$A$301,0),7)))</x:f>
      </x:c>
      <x:c r="O214" s="17" t="n">
        <x:f>IF($A214="",0,IF(AND($C214='季度总览'!$D$3,$L214='季度总览'!$B$3,OR('季度总览'!$F$3="全部",$D214='季度总览'!$F$3,$D214="全国",$D214="全球")),1,0))</x:f>
        <x:v>0</x:v>
      </x:c>
      <x:c r="P214" s="17" t="str">
        <x:f>IF($A214="","",$K214&amp;"【"&amp;$N214&amp;"】"&amp;CHAR(10)&amp;$D214&amp;"："&amp;$G214)</x:f>
      </x:c>
    </x:row>
    <x:row r="215">
      <x:c r="K215" s="17" t="str">
        <x:f>IF($B215="","",IF(COUNTIF('共享事件'!$A$2:$A$301,$B215)&lt;&gt;1,"事件ID缺失或重复",INDEX('共享事件'!$A$2:$M$301,MATCH($B215,'共享事件'!$A$2:$A$301,0),2)))</x:f>
      </x:c>
      <x:c r="L215" s="18" t="str">
        <x:f>IF($B215="","",IF(COUNTIF('共享事件'!$A$2:$A$301,$B215)&lt;&gt;1,"事件ID缺失或重复",INDEX('共享事件'!$A$2:$M$301,MATCH($B215,'共享事件'!$A$2:$A$301,0),3)))</x:f>
      </x:c>
      <x:c r="M215" s="18" t="str">
        <x:f>IF($B215="","",IF(COUNTIF('共享事件'!$A$2:$A$301,$B215)&lt;&gt;1,"事件ID缺失或重复",INDEX('共享事件'!$A$2:$M$301,MATCH($B215,'共享事件'!$A$2:$A$301,0),4)))</x:f>
      </x:c>
      <x:c r="N215" s="17" t="str">
        <x:f>IF($B215="","",IF(COUNTIF('共享事件'!$A$2:$A$301,$B215)&lt;&gt;1,"事件ID缺失或重复",INDEX('共享事件'!$A$2:$M$301,MATCH($B215,'共享事件'!$A$2:$A$301,0),7)))</x:f>
      </x:c>
      <x:c r="O215" s="17" t="n">
        <x:f>IF($A215="",0,IF(AND($C215='季度总览'!$D$3,$L215='季度总览'!$B$3,OR('季度总览'!$F$3="全部",$D215='季度总览'!$F$3,$D215="全国",$D215="全球")),1,0))</x:f>
        <x:v>0</x:v>
      </x:c>
      <x:c r="P215" s="17" t="str">
        <x:f>IF($A215="","",$K215&amp;"【"&amp;$N215&amp;"】"&amp;CHAR(10)&amp;$D215&amp;"："&amp;$G215)</x:f>
      </x:c>
    </x:row>
    <x:row r="216">
      <x:c r="K216" s="17" t="str">
        <x:f>IF($B216="","",IF(COUNTIF('共享事件'!$A$2:$A$301,$B216)&lt;&gt;1,"事件ID缺失或重复",INDEX('共享事件'!$A$2:$M$301,MATCH($B216,'共享事件'!$A$2:$A$301,0),2)))</x:f>
      </x:c>
      <x:c r="L216" s="18" t="str">
        <x:f>IF($B216="","",IF(COUNTIF('共享事件'!$A$2:$A$301,$B216)&lt;&gt;1,"事件ID缺失或重复",INDEX('共享事件'!$A$2:$M$301,MATCH($B216,'共享事件'!$A$2:$A$301,0),3)))</x:f>
      </x:c>
      <x:c r="M216" s="18" t="str">
        <x:f>IF($B216="","",IF(COUNTIF('共享事件'!$A$2:$A$301,$B216)&lt;&gt;1,"事件ID缺失或重复",INDEX('共享事件'!$A$2:$M$301,MATCH($B216,'共享事件'!$A$2:$A$301,0),4)))</x:f>
      </x:c>
      <x:c r="N216" s="17" t="str">
        <x:f>IF($B216="","",IF(COUNTIF('共享事件'!$A$2:$A$301,$B216)&lt;&gt;1,"事件ID缺失或重复",INDEX('共享事件'!$A$2:$M$301,MATCH($B216,'共享事件'!$A$2:$A$301,0),7)))</x:f>
      </x:c>
      <x:c r="O216" s="17" t="n">
        <x:f>IF($A216="",0,IF(AND($C216='季度总览'!$D$3,$L216='季度总览'!$B$3,OR('季度总览'!$F$3="全部",$D216='季度总览'!$F$3,$D216="全国",$D216="全球")),1,0))</x:f>
        <x:v>0</x:v>
      </x:c>
      <x:c r="P216" s="17" t="str">
        <x:f>IF($A216="","",$K216&amp;"【"&amp;$N216&amp;"】"&amp;CHAR(10)&amp;$D216&amp;"："&amp;$G216)</x:f>
      </x:c>
    </x:row>
    <x:row r="217">
      <x:c r="K217" s="17" t="str">
        <x:f>IF($B217="","",IF(COUNTIF('共享事件'!$A$2:$A$301,$B217)&lt;&gt;1,"事件ID缺失或重复",INDEX('共享事件'!$A$2:$M$301,MATCH($B217,'共享事件'!$A$2:$A$301,0),2)))</x:f>
      </x:c>
      <x:c r="L217" s="18" t="str">
        <x:f>IF($B217="","",IF(COUNTIF('共享事件'!$A$2:$A$301,$B217)&lt;&gt;1,"事件ID缺失或重复",INDEX('共享事件'!$A$2:$M$301,MATCH($B217,'共享事件'!$A$2:$A$301,0),3)))</x:f>
      </x:c>
      <x:c r="M217" s="18" t="str">
        <x:f>IF($B217="","",IF(COUNTIF('共享事件'!$A$2:$A$301,$B217)&lt;&gt;1,"事件ID缺失或重复",INDEX('共享事件'!$A$2:$M$301,MATCH($B217,'共享事件'!$A$2:$A$301,0),4)))</x:f>
      </x:c>
      <x:c r="N217" s="17" t="str">
        <x:f>IF($B217="","",IF(COUNTIF('共享事件'!$A$2:$A$301,$B217)&lt;&gt;1,"事件ID缺失或重复",INDEX('共享事件'!$A$2:$M$301,MATCH($B217,'共享事件'!$A$2:$A$301,0),7)))</x:f>
      </x:c>
      <x:c r="O217" s="17" t="n">
        <x:f>IF($A217="",0,IF(AND($C217='季度总览'!$D$3,$L217='季度总览'!$B$3,OR('季度总览'!$F$3="全部",$D217='季度总览'!$F$3,$D217="全国",$D217="全球")),1,0))</x:f>
        <x:v>0</x:v>
      </x:c>
      <x:c r="P217" s="17" t="str">
        <x:f>IF($A217="","",$K217&amp;"【"&amp;$N217&amp;"】"&amp;CHAR(10)&amp;$D217&amp;"："&amp;$G217)</x:f>
      </x:c>
    </x:row>
    <x:row r="218">
      <x:c r="K218" s="17" t="str">
        <x:f>IF($B218="","",IF(COUNTIF('共享事件'!$A$2:$A$301,$B218)&lt;&gt;1,"事件ID缺失或重复",INDEX('共享事件'!$A$2:$M$301,MATCH($B218,'共享事件'!$A$2:$A$301,0),2)))</x:f>
      </x:c>
      <x:c r="L218" s="18" t="str">
        <x:f>IF($B218="","",IF(COUNTIF('共享事件'!$A$2:$A$301,$B218)&lt;&gt;1,"事件ID缺失或重复",INDEX('共享事件'!$A$2:$M$301,MATCH($B218,'共享事件'!$A$2:$A$301,0),3)))</x:f>
      </x:c>
      <x:c r="M218" s="18" t="str">
        <x:f>IF($B218="","",IF(COUNTIF('共享事件'!$A$2:$A$301,$B218)&lt;&gt;1,"事件ID缺失或重复",INDEX('共享事件'!$A$2:$M$301,MATCH($B218,'共享事件'!$A$2:$A$301,0),4)))</x:f>
      </x:c>
      <x:c r="N218" s="17" t="str">
        <x:f>IF($B218="","",IF(COUNTIF('共享事件'!$A$2:$A$301,$B218)&lt;&gt;1,"事件ID缺失或重复",INDEX('共享事件'!$A$2:$M$301,MATCH($B218,'共享事件'!$A$2:$A$301,0),7)))</x:f>
      </x:c>
      <x:c r="O218" s="17" t="n">
        <x:f>IF($A218="",0,IF(AND($C218='季度总览'!$D$3,$L218='季度总览'!$B$3,OR('季度总览'!$F$3="全部",$D218='季度总览'!$F$3,$D218="全国",$D218="全球")),1,0))</x:f>
        <x:v>0</x:v>
      </x:c>
      <x:c r="P218" s="17" t="str">
        <x:f>IF($A218="","",$K218&amp;"【"&amp;$N218&amp;"】"&amp;CHAR(10)&amp;$D218&amp;"："&amp;$G218)</x:f>
      </x:c>
    </x:row>
    <x:row r="219">
      <x:c r="K219" s="17" t="str">
        <x:f>IF($B219="","",IF(COUNTIF('共享事件'!$A$2:$A$301,$B219)&lt;&gt;1,"事件ID缺失或重复",INDEX('共享事件'!$A$2:$M$301,MATCH($B219,'共享事件'!$A$2:$A$301,0),2)))</x:f>
      </x:c>
      <x:c r="L219" s="18" t="str">
        <x:f>IF($B219="","",IF(COUNTIF('共享事件'!$A$2:$A$301,$B219)&lt;&gt;1,"事件ID缺失或重复",INDEX('共享事件'!$A$2:$M$301,MATCH($B219,'共享事件'!$A$2:$A$301,0),3)))</x:f>
      </x:c>
      <x:c r="M219" s="18" t="str">
        <x:f>IF($B219="","",IF(COUNTIF('共享事件'!$A$2:$A$301,$B219)&lt;&gt;1,"事件ID缺失或重复",INDEX('共享事件'!$A$2:$M$301,MATCH($B219,'共享事件'!$A$2:$A$301,0),4)))</x:f>
      </x:c>
      <x:c r="N219" s="17" t="str">
        <x:f>IF($B219="","",IF(COUNTIF('共享事件'!$A$2:$A$301,$B219)&lt;&gt;1,"事件ID缺失或重复",INDEX('共享事件'!$A$2:$M$301,MATCH($B219,'共享事件'!$A$2:$A$301,0),7)))</x:f>
      </x:c>
      <x:c r="O219" s="17" t="n">
        <x:f>IF($A219="",0,IF(AND($C219='季度总览'!$D$3,$L219='季度总览'!$B$3,OR('季度总览'!$F$3="全部",$D219='季度总览'!$F$3,$D219="全国",$D219="全球")),1,0))</x:f>
        <x:v>0</x:v>
      </x:c>
      <x:c r="P219" s="17" t="str">
        <x:f>IF($A219="","",$K219&amp;"【"&amp;$N219&amp;"】"&amp;CHAR(10)&amp;$D219&amp;"："&amp;$G219)</x:f>
      </x:c>
    </x:row>
    <x:row r="220">
      <x:c r="K220" s="17" t="str">
        <x:f>IF($B220="","",IF(COUNTIF('共享事件'!$A$2:$A$301,$B220)&lt;&gt;1,"事件ID缺失或重复",INDEX('共享事件'!$A$2:$M$301,MATCH($B220,'共享事件'!$A$2:$A$301,0),2)))</x:f>
      </x:c>
      <x:c r="L220" s="18" t="str">
        <x:f>IF($B220="","",IF(COUNTIF('共享事件'!$A$2:$A$301,$B220)&lt;&gt;1,"事件ID缺失或重复",INDEX('共享事件'!$A$2:$M$301,MATCH($B220,'共享事件'!$A$2:$A$301,0),3)))</x:f>
      </x:c>
      <x:c r="M220" s="18" t="str">
        <x:f>IF($B220="","",IF(COUNTIF('共享事件'!$A$2:$A$301,$B220)&lt;&gt;1,"事件ID缺失或重复",INDEX('共享事件'!$A$2:$M$301,MATCH($B220,'共享事件'!$A$2:$A$301,0),4)))</x:f>
      </x:c>
      <x:c r="N220" s="17" t="str">
        <x:f>IF($B220="","",IF(COUNTIF('共享事件'!$A$2:$A$301,$B220)&lt;&gt;1,"事件ID缺失或重复",INDEX('共享事件'!$A$2:$M$301,MATCH($B220,'共享事件'!$A$2:$A$301,0),7)))</x:f>
      </x:c>
      <x:c r="O220" s="17" t="n">
        <x:f>IF($A220="",0,IF(AND($C220='季度总览'!$D$3,$L220='季度总览'!$B$3,OR('季度总览'!$F$3="全部",$D220='季度总览'!$F$3,$D220="全国",$D220="全球")),1,0))</x:f>
        <x:v>0</x:v>
      </x:c>
      <x:c r="P220" s="17" t="str">
        <x:f>IF($A220="","",$K220&amp;"【"&amp;$N220&amp;"】"&amp;CHAR(10)&amp;$D220&amp;"："&amp;$G220)</x:f>
      </x:c>
    </x:row>
    <x:row r="221">
      <x:c r="K221" s="17" t="str">
        <x:f>IF($B221="","",IF(COUNTIF('共享事件'!$A$2:$A$301,$B221)&lt;&gt;1,"事件ID缺失或重复",INDEX('共享事件'!$A$2:$M$301,MATCH($B221,'共享事件'!$A$2:$A$301,0),2)))</x:f>
      </x:c>
      <x:c r="L221" s="18" t="str">
        <x:f>IF($B221="","",IF(COUNTIF('共享事件'!$A$2:$A$301,$B221)&lt;&gt;1,"事件ID缺失或重复",INDEX('共享事件'!$A$2:$M$301,MATCH($B221,'共享事件'!$A$2:$A$301,0),3)))</x:f>
      </x:c>
      <x:c r="M221" s="18" t="str">
        <x:f>IF($B221="","",IF(COUNTIF('共享事件'!$A$2:$A$301,$B221)&lt;&gt;1,"事件ID缺失或重复",INDEX('共享事件'!$A$2:$M$301,MATCH($B221,'共享事件'!$A$2:$A$301,0),4)))</x:f>
      </x:c>
      <x:c r="N221" s="17" t="str">
        <x:f>IF($B221="","",IF(COUNTIF('共享事件'!$A$2:$A$301,$B221)&lt;&gt;1,"事件ID缺失或重复",INDEX('共享事件'!$A$2:$M$301,MATCH($B221,'共享事件'!$A$2:$A$301,0),7)))</x:f>
      </x:c>
      <x:c r="O221" s="17" t="n">
        <x:f>IF($A221="",0,IF(AND($C221='季度总览'!$D$3,$L221='季度总览'!$B$3,OR('季度总览'!$F$3="全部",$D221='季度总览'!$F$3,$D221="全国",$D221="全球")),1,0))</x:f>
        <x:v>0</x:v>
      </x:c>
      <x:c r="P221" s="17" t="str">
        <x:f>IF($A221="","",$K221&amp;"【"&amp;$N221&amp;"】"&amp;CHAR(10)&amp;$D221&amp;"："&amp;$G221)</x:f>
      </x:c>
    </x:row>
    <x:row r="222">
      <x:c r="K222" s="17" t="str">
        <x:f>IF($B222="","",IF(COUNTIF('共享事件'!$A$2:$A$301,$B222)&lt;&gt;1,"事件ID缺失或重复",INDEX('共享事件'!$A$2:$M$301,MATCH($B222,'共享事件'!$A$2:$A$301,0),2)))</x:f>
      </x:c>
      <x:c r="L222" s="18" t="str">
        <x:f>IF($B222="","",IF(COUNTIF('共享事件'!$A$2:$A$301,$B222)&lt;&gt;1,"事件ID缺失或重复",INDEX('共享事件'!$A$2:$M$301,MATCH($B222,'共享事件'!$A$2:$A$301,0),3)))</x:f>
      </x:c>
      <x:c r="M222" s="18" t="str">
        <x:f>IF($B222="","",IF(COUNTIF('共享事件'!$A$2:$A$301,$B222)&lt;&gt;1,"事件ID缺失或重复",INDEX('共享事件'!$A$2:$M$301,MATCH($B222,'共享事件'!$A$2:$A$301,0),4)))</x:f>
      </x:c>
      <x:c r="N222" s="17" t="str">
        <x:f>IF($B222="","",IF(COUNTIF('共享事件'!$A$2:$A$301,$B222)&lt;&gt;1,"事件ID缺失或重复",INDEX('共享事件'!$A$2:$M$301,MATCH($B222,'共享事件'!$A$2:$A$301,0),7)))</x:f>
      </x:c>
      <x:c r="O222" s="17" t="n">
        <x:f>IF($A222="",0,IF(AND($C222='季度总览'!$D$3,$L222='季度总览'!$B$3,OR('季度总览'!$F$3="全部",$D222='季度总览'!$F$3,$D222="全国",$D222="全球")),1,0))</x:f>
        <x:v>0</x:v>
      </x:c>
      <x:c r="P222" s="17" t="str">
        <x:f>IF($A222="","",$K222&amp;"【"&amp;$N222&amp;"】"&amp;CHAR(10)&amp;$D222&amp;"："&amp;$G222)</x:f>
      </x:c>
    </x:row>
    <x:row r="223">
      <x:c r="K223" s="17" t="str">
        <x:f>IF($B223="","",IF(COUNTIF('共享事件'!$A$2:$A$301,$B223)&lt;&gt;1,"事件ID缺失或重复",INDEX('共享事件'!$A$2:$M$301,MATCH($B223,'共享事件'!$A$2:$A$301,0),2)))</x:f>
      </x:c>
      <x:c r="L223" s="18" t="str">
        <x:f>IF($B223="","",IF(COUNTIF('共享事件'!$A$2:$A$301,$B223)&lt;&gt;1,"事件ID缺失或重复",INDEX('共享事件'!$A$2:$M$301,MATCH($B223,'共享事件'!$A$2:$A$301,0),3)))</x:f>
      </x:c>
      <x:c r="M223" s="18" t="str">
        <x:f>IF($B223="","",IF(COUNTIF('共享事件'!$A$2:$A$301,$B223)&lt;&gt;1,"事件ID缺失或重复",INDEX('共享事件'!$A$2:$M$301,MATCH($B223,'共享事件'!$A$2:$A$301,0),4)))</x:f>
      </x:c>
      <x:c r="N223" s="17" t="str">
        <x:f>IF($B223="","",IF(COUNTIF('共享事件'!$A$2:$A$301,$B223)&lt;&gt;1,"事件ID缺失或重复",INDEX('共享事件'!$A$2:$M$301,MATCH($B223,'共享事件'!$A$2:$A$301,0),7)))</x:f>
      </x:c>
      <x:c r="O223" s="17" t="n">
        <x:f>IF($A223="",0,IF(AND($C223='季度总览'!$D$3,$L223='季度总览'!$B$3,OR('季度总览'!$F$3="全部",$D223='季度总览'!$F$3,$D223="全国",$D223="全球")),1,0))</x:f>
        <x:v>0</x:v>
      </x:c>
      <x:c r="P223" s="17" t="str">
        <x:f>IF($A223="","",$K223&amp;"【"&amp;$N223&amp;"】"&amp;CHAR(10)&amp;$D223&amp;"："&amp;$G223)</x:f>
      </x:c>
    </x:row>
    <x:row r="224">
      <x:c r="K224" s="17" t="str">
        <x:f>IF($B224="","",IF(COUNTIF('共享事件'!$A$2:$A$301,$B224)&lt;&gt;1,"事件ID缺失或重复",INDEX('共享事件'!$A$2:$M$301,MATCH($B224,'共享事件'!$A$2:$A$301,0),2)))</x:f>
      </x:c>
      <x:c r="L224" s="18" t="str">
        <x:f>IF($B224="","",IF(COUNTIF('共享事件'!$A$2:$A$301,$B224)&lt;&gt;1,"事件ID缺失或重复",INDEX('共享事件'!$A$2:$M$301,MATCH($B224,'共享事件'!$A$2:$A$301,0),3)))</x:f>
      </x:c>
      <x:c r="M224" s="18" t="str">
        <x:f>IF($B224="","",IF(COUNTIF('共享事件'!$A$2:$A$301,$B224)&lt;&gt;1,"事件ID缺失或重复",INDEX('共享事件'!$A$2:$M$301,MATCH($B224,'共享事件'!$A$2:$A$301,0),4)))</x:f>
      </x:c>
      <x:c r="N224" s="17" t="str">
        <x:f>IF($B224="","",IF(COUNTIF('共享事件'!$A$2:$A$301,$B224)&lt;&gt;1,"事件ID缺失或重复",INDEX('共享事件'!$A$2:$M$301,MATCH($B224,'共享事件'!$A$2:$A$301,0),7)))</x:f>
      </x:c>
      <x:c r="O224" s="17" t="n">
        <x:f>IF($A224="",0,IF(AND($C224='季度总览'!$D$3,$L224='季度总览'!$B$3,OR('季度总览'!$F$3="全部",$D224='季度总览'!$F$3,$D224="全国",$D224="全球")),1,0))</x:f>
        <x:v>0</x:v>
      </x:c>
      <x:c r="P224" s="17" t="str">
        <x:f>IF($A224="","",$K224&amp;"【"&amp;$N224&amp;"】"&amp;CHAR(10)&amp;$D224&amp;"："&amp;$G224)</x:f>
      </x:c>
    </x:row>
    <x:row r="225">
      <x:c r="K225" s="17" t="str">
        <x:f>IF($B225="","",IF(COUNTIF('共享事件'!$A$2:$A$301,$B225)&lt;&gt;1,"事件ID缺失或重复",INDEX('共享事件'!$A$2:$M$301,MATCH($B225,'共享事件'!$A$2:$A$301,0),2)))</x:f>
      </x:c>
      <x:c r="L225" s="18" t="str">
        <x:f>IF($B225="","",IF(COUNTIF('共享事件'!$A$2:$A$301,$B225)&lt;&gt;1,"事件ID缺失或重复",INDEX('共享事件'!$A$2:$M$301,MATCH($B225,'共享事件'!$A$2:$A$301,0),3)))</x:f>
      </x:c>
      <x:c r="M225" s="18" t="str">
        <x:f>IF($B225="","",IF(COUNTIF('共享事件'!$A$2:$A$301,$B225)&lt;&gt;1,"事件ID缺失或重复",INDEX('共享事件'!$A$2:$M$301,MATCH($B225,'共享事件'!$A$2:$A$301,0),4)))</x:f>
      </x:c>
      <x:c r="N225" s="17" t="str">
        <x:f>IF($B225="","",IF(COUNTIF('共享事件'!$A$2:$A$301,$B225)&lt;&gt;1,"事件ID缺失或重复",INDEX('共享事件'!$A$2:$M$301,MATCH($B225,'共享事件'!$A$2:$A$301,0),7)))</x:f>
      </x:c>
      <x:c r="O225" s="17" t="n">
        <x:f>IF($A225="",0,IF(AND($C225='季度总览'!$D$3,$L225='季度总览'!$B$3,OR('季度总览'!$F$3="全部",$D225='季度总览'!$F$3,$D225="全国",$D225="全球")),1,0))</x:f>
        <x:v>0</x:v>
      </x:c>
      <x:c r="P225" s="17" t="str">
        <x:f>IF($A225="","",$K225&amp;"【"&amp;$N225&amp;"】"&amp;CHAR(10)&amp;$D225&amp;"："&amp;$G225)</x:f>
      </x:c>
    </x:row>
    <x:row r="226">
      <x:c r="K226" s="17" t="str">
        <x:f>IF($B226="","",IF(COUNTIF('共享事件'!$A$2:$A$301,$B226)&lt;&gt;1,"事件ID缺失或重复",INDEX('共享事件'!$A$2:$M$301,MATCH($B226,'共享事件'!$A$2:$A$301,0),2)))</x:f>
      </x:c>
      <x:c r="L226" s="18" t="str">
        <x:f>IF($B226="","",IF(COUNTIF('共享事件'!$A$2:$A$301,$B226)&lt;&gt;1,"事件ID缺失或重复",INDEX('共享事件'!$A$2:$M$301,MATCH($B226,'共享事件'!$A$2:$A$301,0),3)))</x:f>
      </x:c>
      <x:c r="M226" s="18" t="str">
        <x:f>IF($B226="","",IF(COUNTIF('共享事件'!$A$2:$A$301,$B226)&lt;&gt;1,"事件ID缺失或重复",INDEX('共享事件'!$A$2:$M$301,MATCH($B226,'共享事件'!$A$2:$A$301,0),4)))</x:f>
      </x:c>
      <x:c r="N226" s="17" t="str">
        <x:f>IF($B226="","",IF(COUNTIF('共享事件'!$A$2:$A$301,$B226)&lt;&gt;1,"事件ID缺失或重复",INDEX('共享事件'!$A$2:$M$301,MATCH($B226,'共享事件'!$A$2:$A$301,0),7)))</x:f>
      </x:c>
      <x:c r="O226" s="17" t="n">
        <x:f>IF($A226="",0,IF(AND($C226='季度总览'!$D$3,$L226='季度总览'!$B$3,OR('季度总览'!$F$3="全部",$D226='季度总览'!$F$3,$D226="全国",$D226="全球")),1,0))</x:f>
        <x:v>0</x:v>
      </x:c>
      <x:c r="P226" s="17" t="str">
        <x:f>IF($A226="","",$K226&amp;"【"&amp;$N226&amp;"】"&amp;CHAR(10)&amp;$D226&amp;"："&amp;$G226)</x:f>
      </x:c>
    </x:row>
    <x:row r="227">
      <x:c r="K227" s="17" t="str">
        <x:f>IF($B227="","",IF(COUNTIF('共享事件'!$A$2:$A$301,$B227)&lt;&gt;1,"事件ID缺失或重复",INDEX('共享事件'!$A$2:$M$301,MATCH($B227,'共享事件'!$A$2:$A$301,0),2)))</x:f>
      </x:c>
      <x:c r="L227" s="18" t="str">
        <x:f>IF($B227="","",IF(COUNTIF('共享事件'!$A$2:$A$301,$B227)&lt;&gt;1,"事件ID缺失或重复",INDEX('共享事件'!$A$2:$M$301,MATCH($B227,'共享事件'!$A$2:$A$301,0),3)))</x:f>
      </x:c>
      <x:c r="M227" s="18" t="str">
        <x:f>IF($B227="","",IF(COUNTIF('共享事件'!$A$2:$A$301,$B227)&lt;&gt;1,"事件ID缺失或重复",INDEX('共享事件'!$A$2:$M$301,MATCH($B227,'共享事件'!$A$2:$A$301,0),4)))</x:f>
      </x:c>
      <x:c r="N227" s="17" t="str">
        <x:f>IF($B227="","",IF(COUNTIF('共享事件'!$A$2:$A$301,$B227)&lt;&gt;1,"事件ID缺失或重复",INDEX('共享事件'!$A$2:$M$301,MATCH($B227,'共享事件'!$A$2:$A$301,0),7)))</x:f>
      </x:c>
      <x:c r="O227" s="17" t="n">
        <x:f>IF($A227="",0,IF(AND($C227='季度总览'!$D$3,$L227='季度总览'!$B$3,OR('季度总览'!$F$3="全部",$D227='季度总览'!$F$3,$D227="全国",$D227="全球")),1,0))</x:f>
        <x:v>0</x:v>
      </x:c>
      <x:c r="P227" s="17" t="str">
        <x:f>IF($A227="","",$K227&amp;"【"&amp;$N227&amp;"】"&amp;CHAR(10)&amp;$D227&amp;"："&amp;$G227)</x:f>
      </x:c>
    </x:row>
    <x:row r="228">
      <x:c r="K228" s="17" t="str">
        <x:f>IF($B228="","",IF(COUNTIF('共享事件'!$A$2:$A$301,$B228)&lt;&gt;1,"事件ID缺失或重复",INDEX('共享事件'!$A$2:$M$301,MATCH($B228,'共享事件'!$A$2:$A$301,0),2)))</x:f>
      </x:c>
      <x:c r="L228" s="18" t="str">
        <x:f>IF($B228="","",IF(COUNTIF('共享事件'!$A$2:$A$301,$B228)&lt;&gt;1,"事件ID缺失或重复",INDEX('共享事件'!$A$2:$M$301,MATCH($B228,'共享事件'!$A$2:$A$301,0),3)))</x:f>
      </x:c>
      <x:c r="M228" s="18" t="str">
        <x:f>IF($B228="","",IF(COUNTIF('共享事件'!$A$2:$A$301,$B228)&lt;&gt;1,"事件ID缺失或重复",INDEX('共享事件'!$A$2:$M$301,MATCH($B228,'共享事件'!$A$2:$A$301,0),4)))</x:f>
      </x:c>
      <x:c r="N228" s="17" t="str">
        <x:f>IF($B228="","",IF(COUNTIF('共享事件'!$A$2:$A$301,$B228)&lt;&gt;1,"事件ID缺失或重复",INDEX('共享事件'!$A$2:$M$301,MATCH($B228,'共享事件'!$A$2:$A$301,0),7)))</x:f>
      </x:c>
      <x:c r="O228" s="17" t="n">
        <x:f>IF($A228="",0,IF(AND($C228='季度总览'!$D$3,$L228='季度总览'!$B$3,OR('季度总览'!$F$3="全部",$D228='季度总览'!$F$3,$D228="全国",$D228="全球")),1,0))</x:f>
        <x:v>0</x:v>
      </x:c>
      <x:c r="P228" s="17" t="str">
        <x:f>IF($A228="","",$K228&amp;"【"&amp;$N228&amp;"】"&amp;CHAR(10)&amp;$D228&amp;"："&amp;$G228)</x:f>
      </x:c>
    </x:row>
    <x:row r="229">
      <x:c r="K229" s="17" t="str">
        <x:f>IF($B229="","",IF(COUNTIF('共享事件'!$A$2:$A$301,$B229)&lt;&gt;1,"事件ID缺失或重复",INDEX('共享事件'!$A$2:$M$301,MATCH($B229,'共享事件'!$A$2:$A$301,0),2)))</x:f>
      </x:c>
      <x:c r="L229" s="18" t="str">
        <x:f>IF($B229="","",IF(COUNTIF('共享事件'!$A$2:$A$301,$B229)&lt;&gt;1,"事件ID缺失或重复",INDEX('共享事件'!$A$2:$M$301,MATCH($B229,'共享事件'!$A$2:$A$301,0),3)))</x:f>
      </x:c>
      <x:c r="M229" s="18" t="str">
        <x:f>IF($B229="","",IF(COUNTIF('共享事件'!$A$2:$A$301,$B229)&lt;&gt;1,"事件ID缺失或重复",INDEX('共享事件'!$A$2:$M$301,MATCH($B229,'共享事件'!$A$2:$A$301,0),4)))</x:f>
      </x:c>
      <x:c r="N229" s="17" t="str">
        <x:f>IF($B229="","",IF(COUNTIF('共享事件'!$A$2:$A$301,$B229)&lt;&gt;1,"事件ID缺失或重复",INDEX('共享事件'!$A$2:$M$301,MATCH($B229,'共享事件'!$A$2:$A$301,0),7)))</x:f>
      </x:c>
      <x:c r="O229" s="17" t="n">
        <x:f>IF($A229="",0,IF(AND($C229='季度总览'!$D$3,$L229='季度总览'!$B$3,OR('季度总览'!$F$3="全部",$D229='季度总览'!$F$3,$D229="全国",$D229="全球")),1,0))</x:f>
        <x:v>0</x:v>
      </x:c>
      <x:c r="P229" s="17" t="str">
        <x:f>IF($A229="","",$K229&amp;"【"&amp;$N229&amp;"】"&amp;CHAR(10)&amp;$D229&amp;"："&amp;$G229)</x:f>
      </x:c>
    </x:row>
    <x:row r="230">
      <x:c r="K230" s="17" t="str">
        <x:f>IF($B230="","",IF(COUNTIF('共享事件'!$A$2:$A$301,$B230)&lt;&gt;1,"事件ID缺失或重复",INDEX('共享事件'!$A$2:$M$301,MATCH($B230,'共享事件'!$A$2:$A$301,0),2)))</x:f>
      </x:c>
      <x:c r="L230" s="18" t="str">
        <x:f>IF($B230="","",IF(COUNTIF('共享事件'!$A$2:$A$301,$B230)&lt;&gt;1,"事件ID缺失或重复",INDEX('共享事件'!$A$2:$M$301,MATCH($B230,'共享事件'!$A$2:$A$301,0),3)))</x:f>
      </x:c>
      <x:c r="M230" s="18" t="str">
        <x:f>IF($B230="","",IF(COUNTIF('共享事件'!$A$2:$A$301,$B230)&lt;&gt;1,"事件ID缺失或重复",INDEX('共享事件'!$A$2:$M$301,MATCH($B230,'共享事件'!$A$2:$A$301,0),4)))</x:f>
      </x:c>
      <x:c r="N230" s="17" t="str">
        <x:f>IF($B230="","",IF(COUNTIF('共享事件'!$A$2:$A$301,$B230)&lt;&gt;1,"事件ID缺失或重复",INDEX('共享事件'!$A$2:$M$301,MATCH($B230,'共享事件'!$A$2:$A$301,0),7)))</x:f>
      </x:c>
      <x:c r="O230" s="17" t="n">
        <x:f>IF($A230="",0,IF(AND($C230='季度总览'!$D$3,$L230='季度总览'!$B$3,OR('季度总览'!$F$3="全部",$D230='季度总览'!$F$3,$D230="全国",$D230="全球")),1,0))</x:f>
        <x:v>0</x:v>
      </x:c>
      <x:c r="P230" s="17" t="str">
        <x:f>IF($A230="","",$K230&amp;"【"&amp;$N230&amp;"】"&amp;CHAR(10)&amp;$D230&amp;"："&amp;$G230)</x:f>
      </x:c>
    </x:row>
    <x:row r="231">
      <x:c r="K231" s="17" t="str">
        <x:f>IF($B231="","",IF(COUNTIF('共享事件'!$A$2:$A$301,$B231)&lt;&gt;1,"事件ID缺失或重复",INDEX('共享事件'!$A$2:$M$301,MATCH($B231,'共享事件'!$A$2:$A$301,0),2)))</x:f>
      </x:c>
      <x:c r="L231" s="18" t="str">
        <x:f>IF($B231="","",IF(COUNTIF('共享事件'!$A$2:$A$301,$B231)&lt;&gt;1,"事件ID缺失或重复",INDEX('共享事件'!$A$2:$M$301,MATCH($B231,'共享事件'!$A$2:$A$301,0),3)))</x:f>
      </x:c>
      <x:c r="M231" s="18" t="str">
        <x:f>IF($B231="","",IF(COUNTIF('共享事件'!$A$2:$A$301,$B231)&lt;&gt;1,"事件ID缺失或重复",INDEX('共享事件'!$A$2:$M$301,MATCH($B231,'共享事件'!$A$2:$A$301,0),4)))</x:f>
      </x:c>
      <x:c r="N231" s="17" t="str">
        <x:f>IF($B231="","",IF(COUNTIF('共享事件'!$A$2:$A$301,$B231)&lt;&gt;1,"事件ID缺失或重复",INDEX('共享事件'!$A$2:$M$301,MATCH($B231,'共享事件'!$A$2:$A$301,0),7)))</x:f>
      </x:c>
      <x:c r="O231" s="17" t="n">
        <x:f>IF($A231="",0,IF(AND($C231='季度总览'!$D$3,$L231='季度总览'!$B$3,OR('季度总览'!$F$3="全部",$D231='季度总览'!$F$3,$D231="全国",$D231="全球")),1,0))</x:f>
        <x:v>0</x:v>
      </x:c>
      <x:c r="P231" s="17" t="str">
        <x:f>IF($A231="","",$K231&amp;"【"&amp;$N231&amp;"】"&amp;CHAR(10)&amp;$D231&amp;"："&amp;$G231)</x:f>
      </x:c>
    </x:row>
    <x:row r="232">
      <x:c r="K232" s="17" t="str">
        <x:f>IF($B232="","",IF(COUNTIF('共享事件'!$A$2:$A$301,$B232)&lt;&gt;1,"事件ID缺失或重复",INDEX('共享事件'!$A$2:$M$301,MATCH($B232,'共享事件'!$A$2:$A$301,0),2)))</x:f>
      </x:c>
      <x:c r="L232" s="18" t="str">
        <x:f>IF($B232="","",IF(COUNTIF('共享事件'!$A$2:$A$301,$B232)&lt;&gt;1,"事件ID缺失或重复",INDEX('共享事件'!$A$2:$M$301,MATCH($B232,'共享事件'!$A$2:$A$301,0),3)))</x:f>
      </x:c>
      <x:c r="M232" s="18" t="str">
        <x:f>IF($B232="","",IF(COUNTIF('共享事件'!$A$2:$A$301,$B232)&lt;&gt;1,"事件ID缺失或重复",INDEX('共享事件'!$A$2:$M$301,MATCH($B232,'共享事件'!$A$2:$A$301,0),4)))</x:f>
      </x:c>
      <x:c r="N232" s="17" t="str">
        <x:f>IF($B232="","",IF(COUNTIF('共享事件'!$A$2:$A$301,$B232)&lt;&gt;1,"事件ID缺失或重复",INDEX('共享事件'!$A$2:$M$301,MATCH($B232,'共享事件'!$A$2:$A$301,0),7)))</x:f>
      </x:c>
      <x:c r="O232" s="17" t="n">
        <x:f>IF($A232="",0,IF(AND($C232='季度总览'!$D$3,$L232='季度总览'!$B$3,OR('季度总览'!$F$3="全部",$D232='季度总览'!$F$3,$D232="全国",$D232="全球")),1,0))</x:f>
        <x:v>0</x:v>
      </x:c>
      <x:c r="P232" s="17" t="str">
        <x:f>IF($A232="","",$K232&amp;"【"&amp;$N232&amp;"】"&amp;CHAR(10)&amp;$D232&amp;"："&amp;$G232)</x:f>
      </x:c>
    </x:row>
    <x:row r="233">
      <x:c r="K233" s="17" t="str">
        <x:f>IF($B233="","",IF(COUNTIF('共享事件'!$A$2:$A$301,$B233)&lt;&gt;1,"事件ID缺失或重复",INDEX('共享事件'!$A$2:$M$301,MATCH($B233,'共享事件'!$A$2:$A$301,0),2)))</x:f>
      </x:c>
      <x:c r="L233" s="18" t="str">
        <x:f>IF($B233="","",IF(COUNTIF('共享事件'!$A$2:$A$301,$B233)&lt;&gt;1,"事件ID缺失或重复",INDEX('共享事件'!$A$2:$M$301,MATCH($B233,'共享事件'!$A$2:$A$301,0),3)))</x:f>
      </x:c>
      <x:c r="M233" s="18" t="str">
        <x:f>IF($B233="","",IF(COUNTIF('共享事件'!$A$2:$A$301,$B233)&lt;&gt;1,"事件ID缺失或重复",INDEX('共享事件'!$A$2:$M$301,MATCH($B233,'共享事件'!$A$2:$A$301,0),4)))</x:f>
      </x:c>
      <x:c r="N233" s="17" t="str">
        <x:f>IF($B233="","",IF(COUNTIF('共享事件'!$A$2:$A$301,$B233)&lt;&gt;1,"事件ID缺失或重复",INDEX('共享事件'!$A$2:$M$301,MATCH($B233,'共享事件'!$A$2:$A$301,0),7)))</x:f>
      </x:c>
      <x:c r="O233" s="17" t="n">
        <x:f>IF($A233="",0,IF(AND($C233='季度总览'!$D$3,$L233='季度总览'!$B$3,OR('季度总览'!$F$3="全部",$D233='季度总览'!$F$3,$D233="全国",$D233="全球")),1,0))</x:f>
        <x:v>0</x:v>
      </x:c>
      <x:c r="P233" s="17" t="str">
        <x:f>IF($A233="","",$K233&amp;"【"&amp;$N233&amp;"】"&amp;CHAR(10)&amp;$D233&amp;"："&amp;$G233)</x:f>
      </x:c>
    </x:row>
    <x:row r="234">
      <x:c r="K234" s="17" t="str">
        <x:f>IF($B234="","",IF(COUNTIF('共享事件'!$A$2:$A$301,$B234)&lt;&gt;1,"事件ID缺失或重复",INDEX('共享事件'!$A$2:$M$301,MATCH($B234,'共享事件'!$A$2:$A$301,0),2)))</x:f>
      </x:c>
      <x:c r="L234" s="18" t="str">
        <x:f>IF($B234="","",IF(COUNTIF('共享事件'!$A$2:$A$301,$B234)&lt;&gt;1,"事件ID缺失或重复",INDEX('共享事件'!$A$2:$M$301,MATCH($B234,'共享事件'!$A$2:$A$301,0),3)))</x:f>
      </x:c>
      <x:c r="M234" s="18" t="str">
        <x:f>IF($B234="","",IF(COUNTIF('共享事件'!$A$2:$A$301,$B234)&lt;&gt;1,"事件ID缺失或重复",INDEX('共享事件'!$A$2:$M$301,MATCH($B234,'共享事件'!$A$2:$A$301,0),4)))</x:f>
      </x:c>
      <x:c r="N234" s="17" t="str">
        <x:f>IF($B234="","",IF(COUNTIF('共享事件'!$A$2:$A$301,$B234)&lt;&gt;1,"事件ID缺失或重复",INDEX('共享事件'!$A$2:$M$301,MATCH($B234,'共享事件'!$A$2:$A$301,0),7)))</x:f>
      </x:c>
      <x:c r="O234" s="17" t="n">
        <x:f>IF($A234="",0,IF(AND($C234='季度总览'!$D$3,$L234='季度总览'!$B$3,OR('季度总览'!$F$3="全部",$D234='季度总览'!$F$3,$D234="全国",$D234="全球")),1,0))</x:f>
        <x:v>0</x:v>
      </x:c>
      <x:c r="P234" s="17" t="str">
        <x:f>IF($A234="","",$K234&amp;"【"&amp;$N234&amp;"】"&amp;CHAR(10)&amp;$D234&amp;"："&amp;$G234)</x:f>
      </x:c>
    </x:row>
    <x:row r="235">
      <x:c r="K235" s="17" t="str">
        <x:f>IF($B235="","",IF(COUNTIF('共享事件'!$A$2:$A$301,$B235)&lt;&gt;1,"事件ID缺失或重复",INDEX('共享事件'!$A$2:$M$301,MATCH($B235,'共享事件'!$A$2:$A$301,0),2)))</x:f>
      </x:c>
      <x:c r="L235" s="18" t="str">
        <x:f>IF($B235="","",IF(COUNTIF('共享事件'!$A$2:$A$301,$B235)&lt;&gt;1,"事件ID缺失或重复",INDEX('共享事件'!$A$2:$M$301,MATCH($B235,'共享事件'!$A$2:$A$301,0),3)))</x:f>
      </x:c>
      <x:c r="M235" s="18" t="str">
        <x:f>IF($B235="","",IF(COUNTIF('共享事件'!$A$2:$A$301,$B235)&lt;&gt;1,"事件ID缺失或重复",INDEX('共享事件'!$A$2:$M$301,MATCH($B235,'共享事件'!$A$2:$A$301,0),4)))</x:f>
      </x:c>
      <x:c r="N235" s="17" t="str">
        <x:f>IF($B235="","",IF(COUNTIF('共享事件'!$A$2:$A$301,$B235)&lt;&gt;1,"事件ID缺失或重复",INDEX('共享事件'!$A$2:$M$301,MATCH($B235,'共享事件'!$A$2:$A$301,0),7)))</x:f>
      </x:c>
      <x:c r="O235" s="17" t="n">
        <x:f>IF($A235="",0,IF(AND($C235='季度总览'!$D$3,$L235='季度总览'!$B$3,OR('季度总览'!$F$3="全部",$D235='季度总览'!$F$3,$D235="全国",$D235="全球")),1,0))</x:f>
        <x:v>0</x:v>
      </x:c>
      <x:c r="P235" s="17" t="str">
        <x:f>IF($A235="","",$K235&amp;"【"&amp;$N235&amp;"】"&amp;CHAR(10)&amp;$D235&amp;"："&amp;$G235)</x:f>
      </x:c>
    </x:row>
    <x:row r="236">
      <x:c r="K236" s="17" t="str">
        <x:f>IF($B236="","",IF(COUNTIF('共享事件'!$A$2:$A$301,$B236)&lt;&gt;1,"事件ID缺失或重复",INDEX('共享事件'!$A$2:$M$301,MATCH($B236,'共享事件'!$A$2:$A$301,0),2)))</x:f>
      </x:c>
      <x:c r="L236" s="18" t="str">
        <x:f>IF($B236="","",IF(COUNTIF('共享事件'!$A$2:$A$301,$B236)&lt;&gt;1,"事件ID缺失或重复",INDEX('共享事件'!$A$2:$M$301,MATCH($B236,'共享事件'!$A$2:$A$301,0),3)))</x:f>
      </x:c>
      <x:c r="M236" s="18" t="str">
        <x:f>IF($B236="","",IF(COUNTIF('共享事件'!$A$2:$A$301,$B236)&lt;&gt;1,"事件ID缺失或重复",INDEX('共享事件'!$A$2:$M$301,MATCH($B236,'共享事件'!$A$2:$A$301,0),4)))</x:f>
      </x:c>
      <x:c r="N236" s="17" t="str">
        <x:f>IF($B236="","",IF(COUNTIF('共享事件'!$A$2:$A$301,$B236)&lt;&gt;1,"事件ID缺失或重复",INDEX('共享事件'!$A$2:$M$301,MATCH($B236,'共享事件'!$A$2:$A$301,0),7)))</x:f>
      </x:c>
      <x:c r="O236" s="17" t="n">
        <x:f>IF($A236="",0,IF(AND($C236='季度总览'!$D$3,$L236='季度总览'!$B$3,OR('季度总览'!$F$3="全部",$D236='季度总览'!$F$3,$D236="全国",$D236="全球")),1,0))</x:f>
        <x:v>0</x:v>
      </x:c>
      <x:c r="P236" s="17" t="str">
        <x:f>IF($A236="","",$K236&amp;"【"&amp;$N236&amp;"】"&amp;CHAR(10)&amp;$D236&amp;"："&amp;$G236)</x:f>
      </x:c>
    </x:row>
    <x:row r="237">
      <x:c r="K237" s="17" t="str">
        <x:f>IF($B237="","",IF(COUNTIF('共享事件'!$A$2:$A$301,$B237)&lt;&gt;1,"事件ID缺失或重复",INDEX('共享事件'!$A$2:$M$301,MATCH($B237,'共享事件'!$A$2:$A$301,0),2)))</x:f>
      </x:c>
      <x:c r="L237" s="18" t="str">
        <x:f>IF($B237="","",IF(COUNTIF('共享事件'!$A$2:$A$301,$B237)&lt;&gt;1,"事件ID缺失或重复",INDEX('共享事件'!$A$2:$M$301,MATCH($B237,'共享事件'!$A$2:$A$301,0),3)))</x:f>
      </x:c>
      <x:c r="M237" s="18" t="str">
        <x:f>IF($B237="","",IF(COUNTIF('共享事件'!$A$2:$A$301,$B237)&lt;&gt;1,"事件ID缺失或重复",INDEX('共享事件'!$A$2:$M$301,MATCH($B237,'共享事件'!$A$2:$A$301,0),4)))</x:f>
      </x:c>
      <x:c r="N237" s="17" t="str">
        <x:f>IF($B237="","",IF(COUNTIF('共享事件'!$A$2:$A$301,$B237)&lt;&gt;1,"事件ID缺失或重复",INDEX('共享事件'!$A$2:$M$301,MATCH($B237,'共享事件'!$A$2:$A$301,0),7)))</x:f>
      </x:c>
      <x:c r="O237" s="17" t="n">
        <x:f>IF($A237="",0,IF(AND($C237='季度总览'!$D$3,$L237='季度总览'!$B$3,OR('季度总览'!$F$3="全部",$D237='季度总览'!$F$3,$D237="全国",$D237="全球")),1,0))</x:f>
        <x:v>0</x:v>
      </x:c>
      <x:c r="P237" s="17" t="str">
        <x:f>IF($A237="","",$K237&amp;"【"&amp;$N237&amp;"】"&amp;CHAR(10)&amp;$D237&amp;"："&amp;$G237)</x:f>
      </x:c>
    </x:row>
    <x:row r="238">
      <x:c r="K238" s="17" t="str">
        <x:f>IF($B238="","",IF(COUNTIF('共享事件'!$A$2:$A$301,$B238)&lt;&gt;1,"事件ID缺失或重复",INDEX('共享事件'!$A$2:$M$301,MATCH($B238,'共享事件'!$A$2:$A$301,0),2)))</x:f>
      </x:c>
      <x:c r="L238" s="18" t="str">
        <x:f>IF($B238="","",IF(COUNTIF('共享事件'!$A$2:$A$301,$B238)&lt;&gt;1,"事件ID缺失或重复",INDEX('共享事件'!$A$2:$M$301,MATCH($B238,'共享事件'!$A$2:$A$301,0),3)))</x:f>
      </x:c>
      <x:c r="M238" s="18" t="str">
        <x:f>IF($B238="","",IF(COUNTIF('共享事件'!$A$2:$A$301,$B238)&lt;&gt;1,"事件ID缺失或重复",INDEX('共享事件'!$A$2:$M$301,MATCH($B238,'共享事件'!$A$2:$A$301,0),4)))</x:f>
      </x:c>
      <x:c r="N238" s="17" t="str">
        <x:f>IF($B238="","",IF(COUNTIF('共享事件'!$A$2:$A$301,$B238)&lt;&gt;1,"事件ID缺失或重复",INDEX('共享事件'!$A$2:$M$301,MATCH($B238,'共享事件'!$A$2:$A$301,0),7)))</x:f>
      </x:c>
      <x:c r="O238" s="17" t="n">
        <x:f>IF($A238="",0,IF(AND($C238='季度总览'!$D$3,$L238='季度总览'!$B$3,OR('季度总览'!$F$3="全部",$D238='季度总览'!$F$3,$D238="全国",$D238="全球")),1,0))</x:f>
        <x:v>0</x:v>
      </x:c>
      <x:c r="P238" s="17" t="str">
        <x:f>IF($A238="","",$K238&amp;"【"&amp;$N238&amp;"】"&amp;CHAR(10)&amp;$D238&amp;"："&amp;$G238)</x:f>
      </x:c>
    </x:row>
    <x:row r="239">
      <x:c r="K239" s="17" t="str">
        <x:f>IF($B239="","",IF(COUNTIF('共享事件'!$A$2:$A$301,$B239)&lt;&gt;1,"事件ID缺失或重复",INDEX('共享事件'!$A$2:$M$301,MATCH($B239,'共享事件'!$A$2:$A$301,0),2)))</x:f>
      </x:c>
      <x:c r="L239" s="18" t="str">
        <x:f>IF($B239="","",IF(COUNTIF('共享事件'!$A$2:$A$301,$B239)&lt;&gt;1,"事件ID缺失或重复",INDEX('共享事件'!$A$2:$M$301,MATCH($B239,'共享事件'!$A$2:$A$301,0),3)))</x:f>
      </x:c>
      <x:c r="M239" s="18" t="str">
        <x:f>IF($B239="","",IF(COUNTIF('共享事件'!$A$2:$A$301,$B239)&lt;&gt;1,"事件ID缺失或重复",INDEX('共享事件'!$A$2:$M$301,MATCH($B239,'共享事件'!$A$2:$A$301,0),4)))</x:f>
      </x:c>
      <x:c r="N239" s="17" t="str">
        <x:f>IF($B239="","",IF(COUNTIF('共享事件'!$A$2:$A$301,$B239)&lt;&gt;1,"事件ID缺失或重复",INDEX('共享事件'!$A$2:$M$301,MATCH($B239,'共享事件'!$A$2:$A$301,0),7)))</x:f>
      </x:c>
      <x:c r="O239" s="17" t="n">
        <x:f>IF($A239="",0,IF(AND($C239='季度总览'!$D$3,$L239='季度总览'!$B$3,OR('季度总览'!$F$3="全部",$D239='季度总览'!$F$3,$D239="全国",$D239="全球")),1,0))</x:f>
        <x:v>0</x:v>
      </x:c>
      <x:c r="P239" s="17" t="str">
        <x:f>IF($A239="","",$K239&amp;"【"&amp;$N239&amp;"】"&amp;CHAR(10)&amp;$D239&amp;"："&amp;$G239)</x:f>
      </x:c>
    </x:row>
    <x:row r="240">
      <x:c r="K240" s="17" t="str">
        <x:f>IF($B240="","",IF(COUNTIF('共享事件'!$A$2:$A$301,$B240)&lt;&gt;1,"事件ID缺失或重复",INDEX('共享事件'!$A$2:$M$301,MATCH($B240,'共享事件'!$A$2:$A$301,0),2)))</x:f>
      </x:c>
      <x:c r="L240" s="18" t="str">
        <x:f>IF($B240="","",IF(COUNTIF('共享事件'!$A$2:$A$301,$B240)&lt;&gt;1,"事件ID缺失或重复",INDEX('共享事件'!$A$2:$M$301,MATCH($B240,'共享事件'!$A$2:$A$301,0),3)))</x:f>
      </x:c>
      <x:c r="M240" s="18" t="str">
        <x:f>IF($B240="","",IF(COUNTIF('共享事件'!$A$2:$A$301,$B240)&lt;&gt;1,"事件ID缺失或重复",INDEX('共享事件'!$A$2:$M$301,MATCH($B240,'共享事件'!$A$2:$A$301,0),4)))</x:f>
      </x:c>
      <x:c r="N240" s="17" t="str">
        <x:f>IF($B240="","",IF(COUNTIF('共享事件'!$A$2:$A$301,$B240)&lt;&gt;1,"事件ID缺失或重复",INDEX('共享事件'!$A$2:$M$301,MATCH($B240,'共享事件'!$A$2:$A$301,0),7)))</x:f>
      </x:c>
      <x:c r="O240" s="17" t="n">
        <x:f>IF($A240="",0,IF(AND($C240='季度总览'!$D$3,$L240='季度总览'!$B$3,OR('季度总览'!$F$3="全部",$D240='季度总览'!$F$3,$D240="全国",$D240="全球")),1,0))</x:f>
        <x:v>0</x:v>
      </x:c>
      <x:c r="P240" s="17" t="str">
        <x:f>IF($A240="","",$K240&amp;"【"&amp;$N240&amp;"】"&amp;CHAR(10)&amp;$D240&amp;"："&amp;$G240)</x:f>
      </x:c>
    </x:row>
    <x:row r="241">
      <x:c r="K241" s="17" t="str">
        <x:f>IF($B241="","",IF(COUNTIF('共享事件'!$A$2:$A$301,$B241)&lt;&gt;1,"事件ID缺失或重复",INDEX('共享事件'!$A$2:$M$301,MATCH($B241,'共享事件'!$A$2:$A$301,0),2)))</x:f>
      </x:c>
      <x:c r="L241" s="18" t="str">
        <x:f>IF($B241="","",IF(COUNTIF('共享事件'!$A$2:$A$301,$B241)&lt;&gt;1,"事件ID缺失或重复",INDEX('共享事件'!$A$2:$M$301,MATCH($B241,'共享事件'!$A$2:$A$301,0),3)))</x:f>
      </x:c>
      <x:c r="M241" s="18" t="str">
        <x:f>IF($B241="","",IF(COUNTIF('共享事件'!$A$2:$A$301,$B241)&lt;&gt;1,"事件ID缺失或重复",INDEX('共享事件'!$A$2:$M$301,MATCH($B241,'共享事件'!$A$2:$A$301,0),4)))</x:f>
      </x:c>
      <x:c r="N241" s="17" t="str">
        <x:f>IF($B241="","",IF(COUNTIF('共享事件'!$A$2:$A$301,$B241)&lt;&gt;1,"事件ID缺失或重复",INDEX('共享事件'!$A$2:$M$301,MATCH($B241,'共享事件'!$A$2:$A$301,0),7)))</x:f>
      </x:c>
      <x:c r="O241" s="17" t="n">
        <x:f>IF($A241="",0,IF(AND($C241='季度总览'!$D$3,$L241='季度总览'!$B$3,OR('季度总览'!$F$3="全部",$D241='季度总览'!$F$3,$D241="全国",$D241="全球")),1,0))</x:f>
        <x:v>0</x:v>
      </x:c>
      <x:c r="P241" s="17" t="str">
        <x:f>IF($A241="","",$K241&amp;"【"&amp;$N241&amp;"】"&amp;CHAR(10)&amp;$D241&amp;"："&amp;$G241)</x:f>
      </x:c>
    </x:row>
    <x:row r="242">
      <x:c r="K242" s="17" t="str">
        <x:f>IF($B242="","",IF(COUNTIF('共享事件'!$A$2:$A$301,$B242)&lt;&gt;1,"事件ID缺失或重复",INDEX('共享事件'!$A$2:$M$301,MATCH($B242,'共享事件'!$A$2:$A$301,0),2)))</x:f>
      </x:c>
      <x:c r="L242" s="18" t="str">
        <x:f>IF($B242="","",IF(COUNTIF('共享事件'!$A$2:$A$301,$B242)&lt;&gt;1,"事件ID缺失或重复",INDEX('共享事件'!$A$2:$M$301,MATCH($B242,'共享事件'!$A$2:$A$301,0),3)))</x:f>
      </x:c>
      <x:c r="M242" s="18" t="str">
        <x:f>IF($B242="","",IF(COUNTIF('共享事件'!$A$2:$A$301,$B242)&lt;&gt;1,"事件ID缺失或重复",INDEX('共享事件'!$A$2:$M$301,MATCH($B242,'共享事件'!$A$2:$A$301,0),4)))</x:f>
      </x:c>
      <x:c r="N242" s="17" t="str">
        <x:f>IF($B242="","",IF(COUNTIF('共享事件'!$A$2:$A$301,$B242)&lt;&gt;1,"事件ID缺失或重复",INDEX('共享事件'!$A$2:$M$301,MATCH($B242,'共享事件'!$A$2:$A$301,0),7)))</x:f>
      </x:c>
      <x:c r="O242" s="17" t="n">
        <x:f>IF($A242="",0,IF(AND($C242='季度总览'!$D$3,$L242='季度总览'!$B$3,OR('季度总览'!$F$3="全部",$D242='季度总览'!$F$3,$D242="全国",$D242="全球")),1,0))</x:f>
        <x:v>0</x:v>
      </x:c>
      <x:c r="P242" s="17" t="str">
        <x:f>IF($A242="","",$K242&amp;"【"&amp;$N242&amp;"】"&amp;CHAR(10)&amp;$D242&amp;"："&amp;$G242)</x:f>
      </x:c>
    </x:row>
    <x:row r="243">
      <x:c r="K243" s="17" t="str">
        <x:f>IF($B243="","",IF(COUNTIF('共享事件'!$A$2:$A$301,$B243)&lt;&gt;1,"事件ID缺失或重复",INDEX('共享事件'!$A$2:$M$301,MATCH($B243,'共享事件'!$A$2:$A$301,0),2)))</x:f>
      </x:c>
      <x:c r="L243" s="18" t="str">
        <x:f>IF($B243="","",IF(COUNTIF('共享事件'!$A$2:$A$301,$B243)&lt;&gt;1,"事件ID缺失或重复",INDEX('共享事件'!$A$2:$M$301,MATCH($B243,'共享事件'!$A$2:$A$301,0),3)))</x:f>
      </x:c>
      <x:c r="M243" s="18" t="str">
        <x:f>IF($B243="","",IF(COUNTIF('共享事件'!$A$2:$A$301,$B243)&lt;&gt;1,"事件ID缺失或重复",INDEX('共享事件'!$A$2:$M$301,MATCH($B243,'共享事件'!$A$2:$A$301,0),4)))</x:f>
      </x:c>
      <x:c r="N243" s="17" t="str">
        <x:f>IF($B243="","",IF(COUNTIF('共享事件'!$A$2:$A$301,$B243)&lt;&gt;1,"事件ID缺失或重复",INDEX('共享事件'!$A$2:$M$301,MATCH($B243,'共享事件'!$A$2:$A$301,0),7)))</x:f>
      </x:c>
      <x:c r="O243" s="17" t="n">
        <x:f>IF($A243="",0,IF(AND($C243='季度总览'!$D$3,$L243='季度总览'!$B$3,OR('季度总览'!$F$3="全部",$D243='季度总览'!$F$3,$D243="全国",$D243="全球")),1,0))</x:f>
        <x:v>0</x:v>
      </x:c>
      <x:c r="P243" s="17" t="str">
        <x:f>IF($A243="","",$K243&amp;"【"&amp;$N243&amp;"】"&amp;CHAR(10)&amp;$D243&amp;"："&amp;$G243)</x:f>
      </x:c>
    </x:row>
    <x:row r="244">
      <x:c r="K244" s="17" t="str">
        <x:f>IF($B244="","",IF(COUNTIF('共享事件'!$A$2:$A$301,$B244)&lt;&gt;1,"事件ID缺失或重复",INDEX('共享事件'!$A$2:$M$301,MATCH($B244,'共享事件'!$A$2:$A$301,0),2)))</x:f>
      </x:c>
      <x:c r="L244" s="18" t="str">
        <x:f>IF($B244="","",IF(COUNTIF('共享事件'!$A$2:$A$301,$B244)&lt;&gt;1,"事件ID缺失或重复",INDEX('共享事件'!$A$2:$M$301,MATCH($B244,'共享事件'!$A$2:$A$301,0),3)))</x:f>
      </x:c>
      <x:c r="M244" s="18" t="str">
        <x:f>IF($B244="","",IF(COUNTIF('共享事件'!$A$2:$A$301,$B244)&lt;&gt;1,"事件ID缺失或重复",INDEX('共享事件'!$A$2:$M$301,MATCH($B244,'共享事件'!$A$2:$A$301,0),4)))</x:f>
      </x:c>
      <x:c r="N244" s="17" t="str">
        <x:f>IF($B244="","",IF(COUNTIF('共享事件'!$A$2:$A$301,$B244)&lt;&gt;1,"事件ID缺失或重复",INDEX('共享事件'!$A$2:$M$301,MATCH($B244,'共享事件'!$A$2:$A$301,0),7)))</x:f>
      </x:c>
      <x:c r="O244" s="17" t="n">
        <x:f>IF($A244="",0,IF(AND($C244='季度总览'!$D$3,$L244='季度总览'!$B$3,OR('季度总览'!$F$3="全部",$D244='季度总览'!$F$3,$D244="全国",$D244="全球")),1,0))</x:f>
        <x:v>0</x:v>
      </x:c>
      <x:c r="P244" s="17" t="str">
        <x:f>IF($A244="","",$K244&amp;"【"&amp;$N244&amp;"】"&amp;CHAR(10)&amp;$D244&amp;"："&amp;$G244)</x:f>
      </x:c>
    </x:row>
    <x:row r="245">
      <x:c r="K245" s="17" t="str">
        <x:f>IF($B245="","",IF(COUNTIF('共享事件'!$A$2:$A$301,$B245)&lt;&gt;1,"事件ID缺失或重复",INDEX('共享事件'!$A$2:$M$301,MATCH($B245,'共享事件'!$A$2:$A$301,0),2)))</x:f>
      </x:c>
      <x:c r="L245" s="18" t="str">
        <x:f>IF($B245="","",IF(COUNTIF('共享事件'!$A$2:$A$301,$B245)&lt;&gt;1,"事件ID缺失或重复",INDEX('共享事件'!$A$2:$M$301,MATCH($B245,'共享事件'!$A$2:$A$301,0),3)))</x:f>
      </x:c>
      <x:c r="M245" s="18" t="str">
        <x:f>IF($B245="","",IF(COUNTIF('共享事件'!$A$2:$A$301,$B245)&lt;&gt;1,"事件ID缺失或重复",INDEX('共享事件'!$A$2:$M$301,MATCH($B245,'共享事件'!$A$2:$A$301,0),4)))</x:f>
      </x:c>
      <x:c r="N245" s="17" t="str">
        <x:f>IF($B245="","",IF(COUNTIF('共享事件'!$A$2:$A$301,$B245)&lt;&gt;1,"事件ID缺失或重复",INDEX('共享事件'!$A$2:$M$301,MATCH($B245,'共享事件'!$A$2:$A$301,0),7)))</x:f>
      </x:c>
      <x:c r="O245" s="17" t="n">
        <x:f>IF($A245="",0,IF(AND($C245='季度总览'!$D$3,$L245='季度总览'!$B$3,OR('季度总览'!$F$3="全部",$D245='季度总览'!$F$3,$D245="全国",$D245="全球")),1,0))</x:f>
        <x:v>0</x:v>
      </x:c>
      <x:c r="P245" s="17" t="str">
        <x:f>IF($A245="","",$K245&amp;"【"&amp;$N245&amp;"】"&amp;CHAR(10)&amp;$D245&amp;"："&amp;$G245)</x:f>
      </x:c>
    </x:row>
    <x:row r="246">
      <x:c r="K246" s="17" t="str">
        <x:f>IF($B246="","",IF(COUNTIF('共享事件'!$A$2:$A$301,$B246)&lt;&gt;1,"事件ID缺失或重复",INDEX('共享事件'!$A$2:$M$301,MATCH($B246,'共享事件'!$A$2:$A$301,0),2)))</x:f>
      </x:c>
      <x:c r="L246" s="18" t="str">
        <x:f>IF($B246="","",IF(COUNTIF('共享事件'!$A$2:$A$301,$B246)&lt;&gt;1,"事件ID缺失或重复",INDEX('共享事件'!$A$2:$M$301,MATCH($B246,'共享事件'!$A$2:$A$301,0),3)))</x:f>
      </x:c>
      <x:c r="M246" s="18" t="str">
        <x:f>IF($B246="","",IF(COUNTIF('共享事件'!$A$2:$A$301,$B246)&lt;&gt;1,"事件ID缺失或重复",INDEX('共享事件'!$A$2:$M$301,MATCH($B246,'共享事件'!$A$2:$A$301,0),4)))</x:f>
      </x:c>
      <x:c r="N246" s="17" t="str">
        <x:f>IF($B246="","",IF(COUNTIF('共享事件'!$A$2:$A$301,$B246)&lt;&gt;1,"事件ID缺失或重复",INDEX('共享事件'!$A$2:$M$301,MATCH($B246,'共享事件'!$A$2:$A$301,0),7)))</x:f>
      </x:c>
      <x:c r="O246" s="17" t="n">
        <x:f>IF($A246="",0,IF(AND($C246='季度总览'!$D$3,$L246='季度总览'!$B$3,OR('季度总览'!$F$3="全部",$D246='季度总览'!$F$3,$D246="全国",$D246="全球")),1,0))</x:f>
        <x:v>0</x:v>
      </x:c>
      <x:c r="P246" s="17" t="str">
        <x:f>IF($A246="","",$K246&amp;"【"&amp;$N246&amp;"】"&amp;CHAR(10)&amp;$D246&amp;"："&amp;$G246)</x:f>
      </x:c>
    </x:row>
    <x:row r="247">
      <x:c r="K247" s="17" t="str">
        <x:f>IF($B247="","",IF(COUNTIF('共享事件'!$A$2:$A$301,$B247)&lt;&gt;1,"事件ID缺失或重复",INDEX('共享事件'!$A$2:$M$301,MATCH($B247,'共享事件'!$A$2:$A$301,0),2)))</x:f>
      </x:c>
      <x:c r="L247" s="18" t="str">
        <x:f>IF($B247="","",IF(COUNTIF('共享事件'!$A$2:$A$301,$B247)&lt;&gt;1,"事件ID缺失或重复",INDEX('共享事件'!$A$2:$M$301,MATCH($B247,'共享事件'!$A$2:$A$301,0),3)))</x:f>
      </x:c>
      <x:c r="M247" s="18" t="str">
        <x:f>IF($B247="","",IF(COUNTIF('共享事件'!$A$2:$A$301,$B247)&lt;&gt;1,"事件ID缺失或重复",INDEX('共享事件'!$A$2:$M$301,MATCH($B247,'共享事件'!$A$2:$A$301,0),4)))</x:f>
      </x:c>
      <x:c r="N247" s="17" t="str">
        <x:f>IF($B247="","",IF(COUNTIF('共享事件'!$A$2:$A$301,$B247)&lt;&gt;1,"事件ID缺失或重复",INDEX('共享事件'!$A$2:$M$301,MATCH($B247,'共享事件'!$A$2:$A$301,0),7)))</x:f>
      </x:c>
      <x:c r="O247" s="17" t="n">
        <x:f>IF($A247="",0,IF(AND($C247='季度总览'!$D$3,$L247='季度总览'!$B$3,OR('季度总览'!$F$3="全部",$D247='季度总览'!$F$3,$D247="全国",$D247="全球")),1,0))</x:f>
        <x:v>0</x:v>
      </x:c>
      <x:c r="P247" s="17" t="str">
        <x:f>IF($A247="","",$K247&amp;"【"&amp;$N247&amp;"】"&amp;CHAR(10)&amp;$D247&amp;"："&amp;$G247)</x:f>
      </x:c>
    </x:row>
    <x:row r="248">
      <x:c r="K248" s="17" t="str">
        <x:f>IF($B248="","",IF(COUNTIF('共享事件'!$A$2:$A$301,$B248)&lt;&gt;1,"事件ID缺失或重复",INDEX('共享事件'!$A$2:$M$301,MATCH($B248,'共享事件'!$A$2:$A$301,0),2)))</x:f>
      </x:c>
      <x:c r="L248" s="18" t="str">
        <x:f>IF($B248="","",IF(COUNTIF('共享事件'!$A$2:$A$301,$B248)&lt;&gt;1,"事件ID缺失或重复",INDEX('共享事件'!$A$2:$M$301,MATCH($B248,'共享事件'!$A$2:$A$301,0),3)))</x:f>
      </x:c>
      <x:c r="M248" s="18" t="str">
        <x:f>IF($B248="","",IF(COUNTIF('共享事件'!$A$2:$A$301,$B248)&lt;&gt;1,"事件ID缺失或重复",INDEX('共享事件'!$A$2:$M$301,MATCH($B248,'共享事件'!$A$2:$A$301,0),4)))</x:f>
      </x:c>
      <x:c r="N248" s="17" t="str">
        <x:f>IF($B248="","",IF(COUNTIF('共享事件'!$A$2:$A$301,$B248)&lt;&gt;1,"事件ID缺失或重复",INDEX('共享事件'!$A$2:$M$301,MATCH($B248,'共享事件'!$A$2:$A$301,0),7)))</x:f>
      </x:c>
      <x:c r="O248" s="17" t="n">
        <x:f>IF($A248="",0,IF(AND($C248='季度总览'!$D$3,$L248='季度总览'!$B$3,OR('季度总览'!$F$3="全部",$D248='季度总览'!$F$3,$D248="全国",$D248="全球")),1,0))</x:f>
        <x:v>0</x:v>
      </x:c>
      <x:c r="P248" s="17" t="str">
        <x:f>IF($A248="","",$K248&amp;"【"&amp;$N248&amp;"】"&amp;CHAR(10)&amp;$D248&amp;"："&amp;$G248)</x:f>
      </x:c>
    </x:row>
    <x:row r="249">
      <x:c r="K249" s="17" t="str">
        <x:f>IF($B249="","",IF(COUNTIF('共享事件'!$A$2:$A$301,$B249)&lt;&gt;1,"事件ID缺失或重复",INDEX('共享事件'!$A$2:$M$301,MATCH($B249,'共享事件'!$A$2:$A$301,0),2)))</x:f>
      </x:c>
      <x:c r="L249" s="18" t="str">
        <x:f>IF($B249="","",IF(COUNTIF('共享事件'!$A$2:$A$301,$B249)&lt;&gt;1,"事件ID缺失或重复",INDEX('共享事件'!$A$2:$M$301,MATCH($B249,'共享事件'!$A$2:$A$301,0),3)))</x:f>
      </x:c>
      <x:c r="M249" s="18" t="str">
        <x:f>IF($B249="","",IF(COUNTIF('共享事件'!$A$2:$A$301,$B249)&lt;&gt;1,"事件ID缺失或重复",INDEX('共享事件'!$A$2:$M$301,MATCH($B249,'共享事件'!$A$2:$A$301,0),4)))</x:f>
      </x:c>
      <x:c r="N249" s="17" t="str">
        <x:f>IF($B249="","",IF(COUNTIF('共享事件'!$A$2:$A$301,$B249)&lt;&gt;1,"事件ID缺失或重复",INDEX('共享事件'!$A$2:$M$301,MATCH($B249,'共享事件'!$A$2:$A$301,0),7)))</x:f>
      </x:c>
      <x:c r="O249" s="17" t="n">
        <x:f>IF($A249="",0,IF(AND($C249='季度总览'!$D$3,$L249='季度总览'!$B$3,OR('季度总览'!$F$3="全部",$D249='季度总览'!$F$3,$D249="全国",$D249="全球")),1,0))</x:f>
        <x:v>0</x:v>
      </x:c>
      <x:c r="P249" s="17" t="str">
        <x:f>IF($A249="","",$K249&amp;"【"&amp;$N249&amp;"】"&amp;CHAR(10)&amp;$D249&amp;"："&amp;$G249)</x:f>
      </x:c>
    </x:row>
    <x:row r="250">
      <x:c r="K250" s="17" t="str">
        <x:f>IF($B250="","",IF(COUNTIF('共享事件'!$A$2:$A$301,$B250)&lt;&gt;1,"事件ID缺失或重复",INDEX('共享事件'!$A$2:$M$301,MATCH($B250,'共享事件'!$A$2:$A$301,0),2)))</x:f>
      </x:c>
      <x:c r="L250" s="18" t="str">
        <x:f>IF($B250="","",IF(COUNTIF('共享事件'!$A$2:$A$301,$B250)&lt;&gt;1,"事件ID缺失或重复",INDEX('共享事件'!$A$2:$M$301,MATCH($B250,'共享事件'!$A$2:$A$301,0),3)))</x:f>
      </x:c>
      <x:c r="M250" s="18" t="str">
        <x:f>IF($B250="","",IF(COUNTIF('共享事件'!$A$2:$A$301,$B250)&lt;&gt;1,"事件ID缺失或重复",INDEX('共享事件'!$A$2:$M$301,MATCH($B250,'共享事件'!$A$2:$A$301,0),4)))</x:f>
      </x:c>
      <x:c r="N250" s="17" t="str">
        <x:f>IF($B250="","",IF(COUNTIF('共享事件'!$A$2:$A$301,$B250)&lt;&gt;1,"事件ID缺失或重复",INDEX('共享事件'!$A$2:$M$301,MATCH($B250,'共享事件'!$A$2:$A$301,0),7)))</x:f>
      </x:c>
      <x:c r="O250" s="17" t="n">
        <x:f>IF($A250="",0,IF(AND($C250='季度总览'!$D$3,$L250='季度总览'!$B$3,OR('季度总览'!$F$3="全部",$D250='季度总览'!$F$3,$D250="全国",$D250="全球")),1,0))</x:f>
        <x:v>0</x:v>
      </x:c>
      <x:c r="P250" s="17" t="str">
        <x:f>IF($A250="","",$K250&amp;"【"&amp;$N250&amp;"】"&amp;CHAR(10)&amp;$D250&amp;"："&amp;$G250)</x:f>
      </x:c>
    </x:row>
    <x:row r="251">
      <x:c r="K251" s="17" t="str">
        <x:f>IF($B251="","",IF(COUNTIF('共享事件'!$A$2:$A$301,$B251)&lt;&gt;1,"事件ID缺失或重复",INDEX('共享事件'!$A$2:$M$301,MATCH($B251,'共享事件'!$A$2:$A$301,0),2)))</x:f>
      </x:c>
      <x:c r="L251" s="18" t="str">
        <x:f>IF($B251="","",IF(COUNTIF('共享事件'!$A$2:$A$301,$B251)&lt;&gt;1,"事件ID缺失或重复",INDEX('共享事件'!$A$2:$M$301,MATCH($B251,'共享事件'!$A$2:$A$301,0),3)))</x:f>
      </x:c>
      <x:c r="M251" s="18" t="str">
        <x:f>IF($B251="","",IF(COUNTIF('共享事件'!$A$2:$A$301,$B251)&lt;&gt;1,"事件ID缺失或重复",INDEX('共享事件'!$A$2:$M$301,MATCH($B251,'共享事件'!$A$2:$A$301,0),4)))</x:f>
      </x:c>
      <x:c r="N251" s="17" t="str">
        <x:f>IF($B251="","",IF(COUNTIF('共享事件'!$A$2:$A$301,$B251)&lt;&gt;1,"事件ID缺失或重复",INDEX('共享事件'!$A$2:$M$301,MATCH($B251,'共享事件'!$A$2:$A$301,0),7)))</x:f>
      </x:c>
      <x:c r="O251" s="17" t="n">
        <x:f>IF($A251="",0,IF(AND($C251='季度总览'!$D$3,$L251='季度总览'!$B$3,OR('季度总览'!$F$3="全部",$D251='季度总览'!$F$3,$D251="全国",$D251="全球")),1,0))</x:f>
        <x:v>0</x:v>
      </x:c>
      <x:c r="P251" s="17" t="str">
        <x:f>IF($A251="","",$K251&amp;"【"&amp;$N251&amp;"】"&amp;CHAR(10)&amp;$D251&amp;"："&amp;$G251)</x:f>
      </x:c>
    </x:row>
    <x:row r="252">
      <x:c r="K252" s="17" t="str">
        <x:f>IF($B252="","",IF(COUNTIF('共享事件'!$A$2:$A$301,$B252)&lt;&gt;1,"事件ID缺失或重复",INDEX('共享事件'!$A$2:$M$301,MATCH($B252,'共享事件'!$A$2:$A$301,0),2)))</x:f>
      </x:c>
      <x:c r="L252" s="18" t="str">
        <x:f>IF($B252="","",IF(COUNTIF('共享事件'!$A$2:$A$301,$B252)&lt;&gt;1,"事件ID缺失或重复",INDEX('共享事件'!$A$2:$M$301,MATCH($B252,'共享事件'!$A$2:$A$301,0),3)))</x:f>
      </x:c>
      <x:c r="M252" s="18" t="str">
        <x:f>IF($B252="","",IF(COUNTIF('共享事件'!$A$2:$A$301,$B252)&lt;&gt;1,"事件ID缺失或重复",INDEX('共享事件'!$A$2:$M$301,MATCH($B252,'共享事件'!$A$2:$A$301,0),4)))</x:f>
      </x:c>
      <x:c r="N252" s="17" t="str">
        <x:f>IF($B252="","",IF(COUNTIF('共享事件'!$A$2:$A$301,$B252)&lt;&gt;1,"事件ID缺失或重复",INDEX('共享事件'!$A$2:$M$301,MATCH($B252,'共享事件'!$A$2:$A$301,0),7)))</x:f>
      </x:c>
      <x:c r="O252" s="17" t="n">
        <x:f>IF($A252="",0,IF(AND($C252='季度总览'!$D$3,$L252='季度总览'!$B$3,OR('季度总览'!$F$3="全部",$D252='季度总览'!$F$3,$D252="全国",$D252="全球")),1,0))</x:f>
        <x:v>0</x:v>
      </x:c>
      <x:c r="P252" s="17" t="str">
        <x:f>IF($A252="","",$K252&amp;"【"&amp;$N252&amp;"】"&amp;CHAR(10)&amp;$D252&amp;"："&amp;$G252)</x:f>
      </x:c>
    </x:row>
    <x:row r="253">
      <x:c r="K253" s="17" t="str">
        <x:f>IF($B253="","",IF(COUNTIF('共享事件'!$A$2:$A$301,$B253)&lt;&gt;1,"事件ID缺失或重复",INDEX('共享事件'!$A$2:$M$301,MATCH($B253,'共享事件'!$A$2:$A$301,0),2)))</x:f>
      </x:c>
      <x:c r="L253" s="18" t="str">
        <x:f>IF($B253="","",IF(COUNTIF('共享事件'!$A$2:$A$301,$B253)&lt;&gt;1,"事件ID缺失或重复",INDEX('共享事件'!$A$2:$M$301,MATCH($B253,'共享事件'!$A$2:$A$301,0),3)))</x:f>
      </x:c>
      <x:c r="M253" s="18" t="str">
        <x:f>IF($B253="","",IF(COUNTIF('共享事件'!$A$2:$A$301,$B253)&lt;&gt;1,"事件ID缺失或重复",INDEX('共享事件'!$A$2:$M$301,MATCH($B253,'共享事件'!$A$2:$A$301,0),4)))</x:f>
      </x:c>
      <x:c r="N253" s="17" t="str">
        <x:f>IF($B253="","",IF(COUNTIF('共享事件'!$A$2:$A$301,$B253)&lt;&gt;1,"事件ID缺失或重复",INDEX('共享事件'!$A$2:$M$301,MATCH($B253,'共享事件'!$A$2:$A$301,0),7)))</x:f>
      </x:c>
      <x:c r="O253" s="17" t="n">
        <x:f>IF($A253="",0,IF(AND($C253='季度总览'!$D$3,$L253='季度总览'!$B$3,OR('季度总览'!$F$3="全部",$D253='季度总览'!$F$3,$D253="全国",$D253="全球")),1,0))</x:f>
        <x:v>0</x:v>
      </x:c>
      <x:c r="P253" s="17" t="str">
        <x:f>IF($A253="","",$K253&amp;"【"&amp;$N253&amp;"】"&amp;CHAR(10)&amp;$D253&amp;"："&amp;$G253)</x:f>
      </x:c>
    </x:row>
    <x:row r="254">
      <x:c r="K254" s="17" t="str">
        <x:f>IF($B254="","",IF(COUNTIF('共享事件'!$A$2:$A$301,$B254)&lt;&gt;1,"事件ID缺失或重复",INDEX('共享事件'!$A$2:$M$301,MATCH($B254,'共享事件'!$A$2:$A$301,0),2)))</x:f>
      </x:c>
      <x:c r="L254" s="18" t="str">
        <x:f>IF($B254="","",IF(COUNTIF('共享事件'!$A$2:$A$301,$B254)&lt;&gt;1,"事件ID缺失或重复",INDEX('共享事件'!$A$2:$M$301,MATCH($B254,'共享事件'!$A$2:$A$301,0),3)))</x:f>
      </x:c>
      <x:c r="M254" s="18" t="str">
        <x:f>IF($B254="","",IF(COUNTIF('共享事件'!$A$2:$A$301,$B254)&lt;&gt;1,"事件ID缺失或重复",INDEX('共享事件'!$A$2:$M$301,MATCH($B254,'共享事件'!$A$2:$A$301,0),4)))</x:f>
      </x:c>
      <x:c r="N254" s="17" t="str">
        <x:f>IF($B254="","",IF(COUNTIF('共享事件'!$A$2:$A$301,$B254)&lt;&gt;1,"事件ID缺失或重复",INDEX('共享事件'!$A$2:$M$301,MATCH($B254,'共享事件'!$A$2:$A$301,0),7)))</x:f>
      </x:c>
      <x:c r="O254" s="17" t="n">
        <x:f>IF($A254="",0,IF(AND($C254='季度总览'!$D$3,$L254='季度总览'!$B$3,OR('季度总览'!$F$3="全部",$D254='季度总览'!$F$3,$D254="全国",$D254="全球")),1,0))</x:f>
        <x:v>0</x:v>
      </x:c>
      <x:c r="P254" s="17" t="str">
        <x:f>IF($A254="","",$K254&amp;"【"&amp;$N254&amp;"】"&amp;CHAR(10)&amp;$D254&amp;"："&amp;$G254)</x:f>
      </x:c>
    </x:row>
    <x:row r="255">
      <x:c r="K255" s="17" t="str">
        <x:f>IF($B255="","",IF(COUNTIF('共享事件'!$A$2:$A$301,$B255)&lt;&gt;1,"事件ID缺失或重复",INDEX('共享事件'!$A$2:$M$301,MATCH($B255,'共享事件'!$A$2:$A$301,0),2)))</x:f>
      </x:c>
      <x:c r="L255" s="18" t="str">
        <x:f>IF($B255="","",IF(COUNTIF('共享事件'!$A$2:$A$301,$B255)&lt;&gt;1,"事件ID缺失或重复",INDEX('共享事件'!$A$2:$M$301,MATCH($B255,'共享事件'!$A$2:$A$301,0),3)))</x:f>
      </x:c>
      <x:c r="M255" s="18" t="str">
        <x:f>IF($B255="","",IF(COUNTIF('共享事件'!$A$2:$A$301,$B255)&lt;&gt;1,"事件ID缺失或重复",INDEX('共享事件'!$A$2:$M$301,MATCH($B255,'共享事件'!$A$2:$A$301,0),4)))</x:f>
      </x:c>
      <x:c r="N255" s="17" t="str">
        <x:f>IF($B255="","",IF(COUNTIF('共享事件'!$A$2:$A$301,$B255)&lt;&gt;1,"事件ID缺失或重复",INDEX('共享事件'!$A$2:$M$301,MATCH($B255,'共享事件'!$A$2:$A$301,0),7)))</x:f>
      </x:c>
      <x:c r="O255" s="17" t="n">
        <x:f>IF($A255="",0,IF(AND($C255='季度总览'!$D$3,$L255='季度总览'!$B$3,OR('季度总览'!$F$3="全部",$D255='季度总览'!$F$3,$D255="全国",$D255="全球")),1,0))</x:f>
        <x:v>0</x:v>
      </x:c>
      <x:c r="P255" s="17" t="str">
        <x:f>IF($A255="","",$K255&amp;"【"&amp;$N255&amp;"】"&amp;CHAR(10)&amp;$D255&amp;"："&amp;$G255)</x:f>
      </x:c>
    </x:row>
    <x:row r="256">
      <x:c r="K256" s="17" t="str">
        <x:f>IF($B256="","",IF(COUNTIF('共享事件'!$A$2:$A$301,$B256)&lt;&gt;1,"事件ID缺失或重复",INDEX('共享事件'!$A$2:$M$301,MATCH($B256,'共享事件'!$A$2:$A$301,0),2)))</x:f>
      </x:c>
      <x:c r="L256" s="18" t="str">
        <x:f>IF($B256="","",IF(COUNTIF('共享事件'!$A$2:$A$301,$B256)&lt;&gt;1,"事件ID缺失或重复",INDEX('共享事件'!$A$2:$M$301,MATCH($B256,'共享事件'!$A$2:$A$301,0),3)))</x:f>
      </x:c>
      <x:c r="M256" s="18" t="str">
        <x:f>IF($B256="","",IF(COUNTIF('共享事件'!$A$2:$A$301,$B256)&lt;&gt;1,"事件ID缺失或重复",INDEX('共享事件'!$A$2:$M$301,MATCH($B256,'共享事件'!$A$2:$A$301,0),4)))</x:f>
      </x:c>
      <x:c r="N256" s="17" t="str">
        <x:f>IF($B256="","",IF(COUNTIF('共享事件'!$A$2:$A$301,$B256)&lt;&gt;1,"事件ID缺失或重复",INDEX('共享事件'!$A$2:$M$301,MATCH($B256,'共享事件'!$A$2:$A$301,0),7)))</x:f>
      </x:c>
      <x:c r="O256" s="17" t="n">
        <x:f>IF($A256="",0,IF(AND($C256='季度总览'!$D$3,$L256='季度总览'!$B$3,OR('季度总览'!$F$3="全部",$D256='季度总览'!$F$3,$D256="全国",$D256="全球")),1,0))</x:f>
        <x:v>0</x:v>
      </x:c>
      <x:c r="P256" s="17" t="str">
        <x:f>IF($A256="","",$K256&amp;"【"&amp;$N256&amp;"】"&amp;CHAR(10)&amp;$D256&amp;"："&amp;$G256)</x:f>
      </x:c>
    </x:row>
    <x:row r="257">
      <x:c r="K257" s="17" t="str">
        <x:f>IF($B257="","",IF(COUNTIF('共享事件'!$A$2:$A$301,$B257)&lt;&gt;1,"事件ID缺失或重复",INDEX('共享事件'!$A$2:$M$301,MATCH($B257,'共享事件'!$A$2:$A$301,0),2)))</x:f>
      </x:c>
      <x:c r="L257" s="18" t="str">
        <x:f>IF($B257="","",IF(COUNTIF('共享事件'!$A$2:$A$301,$B257)&lt;&gt;1,"事件ID缺失或重复",INDEX('共享事件'!$A$2:$M$301,MATCH($B257,'共享事件'!$A$2:$A$301,0),3)))</x:f>
      </x:c>
      <x:c r="M257" s="18" t="str">
        <x:f>IF($B257="","",IF(COUNTIF('共享事件'!$A$2:$A$301,$B257)&lt;&gt;1,"事件ID缺失或重复",INDEX('共享事件'!$A$2:$M$301,MATCH($B257,'共享事件'!$A$2:$A$301,0),4)))</x:f>
      </x:c>
      <x:c r="N257" s="17" t="str">
        <x:f>IF($B257="","",IF(COUNTIF('共享事件'!$A$2:$A$301,$B257)&lt;&gt;1,"事件ID缺失或重复",INDEX('共享事件'!$A$2:$M$301,MATCH($B257,'共享事件'!$A$2:$A$301,0),7)))</x:f>
      </x:c>
      <x:c r="O257" s="17" t="n">
        <x:f>IF($A257="",0,IF(AND($C257='季度总览'!$D$3,$L257='季度总览'!$B$3,OR('季度总览'!$F$3="全部",$D257='季度总览'!$F$3,$D257="全国",$D257="全球")),1,0))</x:f>
        <x:v>0</x:v>
      </x:c>
      <x:c r="P257" s="17" t="str">
        <x:f>IF($A257="","",$K257&amp;"【"&amp;$N257&amp;"】"&amp;CHAR(10)&amp;$D257&amp;"："&amp;$G257)</x:f>
      </x:c>
    </x:row>
    <x:row r="258">
      <x:c r="K258" s="17" t="str">
        <x:f>IF($B258="","",IF(COUNTIF('共享事件'!$A$2:$A$301,$B258)&lt;&gt;1,"事件ID缺失或重复",INDEX('共享事件'!$A$2:$M$301,MATCH($B258,'共享事件'!$A$2:$A$301,0),2)))</x:f>
      </x:c>
      <x:c r="L258" s="18" t="str">
        <x:f>IF($B258="","",IF(COUNTIF('共享事件'!$A$2:$A$301,$B258)&lt;&gt;1,"事件ID缺失或重复",INDEX('共享事件'!$A$2:$M$301,MATCH($B258,'共享事件'!$A$2:$A$301,0),3)))</x:f>
      </x:c>
      <x:c r="M258" s="18" t="str">
        <x:f>IF($B258="","",IF(COUNTIF('共享事件'!$A$2:$A$301,$B258)&lt;&gt;1,"事件ID缺失或重复",INDEX('共享事件'!$A$2:$M$301,MATCH($B258,'共享事件'!$A$2:$A$301,0),4)))</x:f>
      </x:c>
      <x:c r="N258" s="17" t="str">
        <x:f>IF($B258="","",IF(COUNTIF('共享事件'!$A$2:$A$301,$B258)&lt;&gt;1,"事件ID缺失或重复",INDEX('共享事件'!$A$2:$M$301,MATCH($B258,'共享事件'!$A$2:$A$301,0),7)))</x:f>
      </x:c>
      <x:c r="O258" s="17" t="n">
        <x:f>IF($A258="",0,IF(AND($C258='季度总览'!$D$3,$L258='季度总览'!$B$3,OR('季度总览'!$F$3="全部",$D258='季度总览'!$F$3,$D258="全国",$D258="全球")),1,0))</x:f>
        <x:v>0</x:v>
      </x:c>
      <x:c r="P258" s="17" t="str">
        <x:f>IF($A258="","",$K258&amp;"【"&amp;$N258&amp;"】"&amp;CHAR(10)&amp;$D258&amp;"："&amp;$G258)</x:f>
      </x:c>
    </x:row>
    <x:row r="259">
      <x:c r="K259" s="17" t="str">
        <x:f>IF($B259="","",IF(COUNTIF('共享事件'!$A$2:$A$301,$B259)&lt;&gt;1,"事件ID缺失或重复",INDEX('共享事件'!$A$2:$M$301,MATCH($B259,'共享事件'!$A$2:$A$301,0),2)))</x:f>
      </x:c>
      <x:c r="L259" s="18" t="str">
        <x:f>IF($B259="","",IF(COUNTIF('共享事件'!$A$2:$A$301,$B259)&lt;&gt;1,"事件ID缺失或重复",INDEX('共享事件'!$A$2:$M$301,MATCH($B259,'共享事件'!$A$2:$A$301,0),3)))</x:f>
      </x:c>
      <x:c r="M259" s="18" t="str">
        <x:f>IF($B259="","",IF(COUNTIF('共享事件'!$A$2:$A$301,$B259)&lt;&gt;1,"事件ID缺失或重复",INDEX('共享事件'!$A$2:$M$301,MATCH($B259,'共享事件'!$A$2:$A$301,0),4)))</x:f>
      </x:c>
      <x:c r="N259" s="17" t="str">
        <x:f>IF($B259="","",IF(COUNTIF('共享事件'!$A$2:$A$301,$B259)&lt;&gt;1,"事件ID缺失或重复",INDEX('共享事件'!$A$2:$M$301,MATCH($B259,'共享事件'!$A$2:$A$301,0),7)))</x:f>
      </x:c>
      <x:c r="O259" s="17" t="n">
        <x:f>IF($A259="",0,IF(AND($C259='季度总览'!$D$3,$L259='季度总览'!$B$3,OR('季度总览'!$F$3="全部",$D259='季度总览'!$F$3,$D259="全国",$D259="全球")),1,0))</x:f>
        <x:v>0</x:v>
      </x:c>
      <x:c r="P259" s="17" t="str">
        <x:f>IF($A259="","",$K259&amp;"【"&amp;$N259&amp;"】"&amp;CHAR(10)&amp;$D259&amp;"："&amp;$G259)</x:f>
      </x:c>
    </x:row>
    <x:row r="260">
      <x:c r="K260" s="17" t="str">
        <x:f>IF($B260="","",IF(COUNTIF('共享事件'!$A$2:$A$301,$B260)&lt;&gt;1,"事件ID缺失或重复",INDEX('共享事件'!$A$2:$M$301,MATCH($B260,'共享事件'!$A$2:$A$301,0),2)))</x:f>
      </x:c>
      <x:c r="L260" s="18" t="str">
        <x:f>IF($B260="","",IF(COUNTIF('共享事件'!$A$2:$A$301,$B260)&lt;&gt;1,"事件ID缺失或重复",INDEX('共享事件'!$A$2:$M$301,MATCH($B260,'共享事件'!$A$2:$A$301,0),3)))</x:f>
      </x:c>
      <x:c r="M260" s="18" t="str">
        <x:f>IF($B260="","",IF(COUNTIF('共享事件'!$A$2:$A$301,$B260)&lt;&gt;1,"事件ID缺失或重复",INDEX('共享事件'!$A$2:$M$301,MATCH($B260,'共享事件'!$A$2:$A$301,0),4)))</x:f>
      </x:c>
      <x:c r="N260" s="17" t="str">
        <x:f>IF($B260="","",IF(COUNTIF('共享事件'!$A$2:$A$301,$B260)&lt;&gt;1,"事件ID缺失或重复",INDEX('共享事件'!$A$2:$M$301,MATCH($B260,'共享事件'!$A$2:$A$301,0),7)))</x:f>
      </x:c>
      <x:c r="O260" s="17" t="n">
        <x:f>IF($A260="",0,IF(AND($C260='季度总览'!$D$3,$L260='季度总览'!$B$3,OR('季度总览'!$F$3="全部",$D260='季度总览'!$F$3,$D260="全国",$D260="全球")),1,0))</x:f>
        <x:v>0</x:v>
      </x:c>
      <x:c r="P260" s="17" t="str">
        <x:f>IF($A260="","",$K260&amp;"【"&amp;$N260&amp;"】"&amp;CHAR(10)&amp;$D260&amp;"："&amp;$G260)</x:f>
      </x:c>
    </x:row>
    <x:row r="261">
      <x:c r="K261" s="17" t="str">
        <x:f>IF($B261="","",IF(COUNTIF('共享事件'!$A$2:$A$301,$B261)&lt;&gt;1,"事件ID缺失或重复",INDEX('共享事件'!$A$2:$M$301,MATCH($B261,'共享事件'!$A$2:$A$301,0),2)))</x:f>
      </x:c>
      <x:c r="L261" s="18" t="str">
        <x:f>IF($B261="","",IF(COUNTIF('共享事件'!$A$2:$A$301,$B261)&lt;&gt;1,"事件ID缺失或重复",INDEX('共享事件'!$A$2:$M$301,MATCH($B261,'共享事件'!$A$2:$A$301,0),3)))</x:f>
      </x:c>
      <x:c r="M261" s="18" t="str">
        <x:f>IF($B261="","",IF(COUNTIF('共享事件'!$A$2:$A$301,$B261)&lt;&gt;1,"事件ID缺失或重复",INDEX('共享事件'!$A$2:$M$301,MATCH($B261,'共享事件'!$A$2:$A$301,0),4)))</x:f>
      </x:c>
      <x:c r="N261" s="17" t="str">
        <x:f>IF($B261="","",IF(COUNTIF('共享事件'!$A$2:$A$301,$B261)&lt;&gt;1,"事件ID缺失或重复",INDEX('共享事件'!$A$2:$M$301,MATCH($B261,'共享事件'!$A$2:$A$301,0),7)))</x:f>
      </x:c>
      <x:c r="O261" s="17" t="n">
        <x:f>IF($A261="",0,IF(AND($C261='季度总览'!$D$3,$L261='季度总览'!$B$3,OR('季度总览'!$F$3="全部",$D261='季度总览'!$F$3,$D261="全国",$D261="全球")),1,0))</x:f>
        <x:v>0</x:v>
      </x:c>
      <x:c r="P261" s="17" t="str">
        <x:f>IF($A261="","",$K261&amp;"【"&amp;$N261&amp;"】"&amp;CHAR(10)&amp;$D261&amp;"："&amp;$G261)</x:f>
      </x:c>
    </x:row>
    <x:row r="262">
      <x:c r="K262" s="17" t="str">
        <x:f>IF($B262="","",IF(COUNTIF('共享事件'!$A$2:$A$301,$B262)&lt;&gt;1,"事件ID缺失或重复",INDEX('共享事件'!$A$2:$M$301,MATCH($B262,'共享事件'!$A$2:$A$301,0),2)))</x:f>
      </x:c>
      <x:c r="L262" s="18" t="str">
        <x:f>IF($B262="","",IF(COUNTIF('共享事件'!$A$2:$A$301,$B262)&lt;&gt;1,"事件ID缺失或重复",INDEX('共享事件'!$A$2:$M$301,MATCH($B262,'共享事件'!$A$2:$A$301,0),3)))</x:f>
      </x:c>
      <x:c r="M262" s="18" t="str">
        <x:f>IF($B262="","",IF(COUNTIF('共享事件'!$A$2:$A$301,$B262)&lt;&gt;1,"事件ID缺失或重复",INDEX('共享事件'!$A$2:$M$301,MATCH($B262,'共享事件'!$A$2:$A$301,0),4)))</x:f>
      </x:c>
      <x:c r="N262" s="17" t="str">
        <x:f>IF($B262="","",IF(COUNTIF('共享事件'!$A$2:$A$301,$B262)&lt;&gt;1,"事件ID缺失或重复",INDEX('共享事件'!$A$2:$M$301,MATCH($B262,'共享事件'!$A$2:$A$301,0),7)))</x:f>
      </x:c>
      <x:c r="O262" s="17" t="n">
        <x:f>IF($A262="",0,IF(AND($C262='季度总览'!$D$3,$L262='季度总览'!$B$3,OR('季度总览'!$F$3="全部",$D262='季度总览'!$F$3,$D262="全国",$D262="全球")),1,0))</x:f>
        <x:v>0</x:v>
      </x:c>
      <x:c r="P262" s="17" t="str">
        <x:f>IF($A262="","",$K262&amp;"【"&amp;$N262&amp;"】"&amp;CHAR(10)&amp;$D262&amp;"："&amp;$G262)</x:f>
      </x:c>
    </x:row>
    <x:row r="263">
      <x:c r="K263" s="17" t="str">
        <x:f>IF($B263="","",IF(COUNTIF('共享事件'!$A$2:$A$301,$B263)&lt;&gt;1,"事件ID缺失或重复",INDEX('共享事件'!$A$2:$M$301,MATCH($B263,'共享事件'!$A$2:$A$301,0),2)))</x:f>
      </x:c>
      <x:c r="L263" s="18" t="str">
        <x:f>IF($B263="","",IF(COUNTIF('共享事件'!$A$2:$A$301,$B263)&lt;&gt;1,"事件ID缺失或重复",INDEX('共享事件'!$A$2:$M$301,MATCH($B263,'共享事件'!$A$2:$A$301,0),3)))</x:f>
      </x:c>
      <x:c r="M263" s="18" t="str">
        <x:f>IF($B263="","",IF(COUNTIF('共享事件'!$A$2:$A$301,$B263)&lt;&gt;1,"事件ID缺失或重复",INDEX('共享事件'!$A$2:$M$301,MATCH($B263,'共享事件'!$A$2:$A$301,0),4)))</x:f>
      </x:c>
      <x:c r="N263" s="17" t="str">
        <x:f>IF($B263="","",IF(COUNTIF('共享事件'!$A$2:$A$301,$B263)&lt;&gt;1,"事件ID缺失或重复",INDEX('共享事件'!$A$2:$M$301,MATCH($B263,'共享事件'!$A$2:$A$301,0),7)))</x:f>
      </x:c>
      <x:c r="O263" s="17" t="n">
        <x:f>IF($A263="",0,IF(AND($C263='季度总览'!$D$3,$L263='季度总览'!$B$3,OR('季度总览'!$F$3="全部",$D263='季度总览'!$F$3,$D263="全国",$D263="全球")),1,0))</x:f>
        <x:v>0</x:v>
      </x:c>
      <x:c r="P263" s="17" t="str">
        <x:f>IF($A263="","",$K263&amp;"【"&amp;$N263&amp;"】"&amp;CHAR(10)&amp;$D263&amp;"："&amp;$G263)</x:f>
      </x:c>
    </x:row>
    <x:row r="264">
      <x:c r="K264" s="17" t="str">
        <x:f>IF($B264="","",IF(COUNTIF('共享事件'!$A$2:$A$301,$B264)&lt;&gt;1,"事件ID缺失或重复",INDEX('共享事件'!$A$2:$M$301,MATCH($B264,'共享事件'!$A$2:$A$301,0),2)))</x:f>
      </x:c>
      <x:c r="L264" s="18" t="str">
        <x:f>IF($B264="","",IF(COUNTIF('共享事件'!$A$2:$A$301,$B264)&lt;&gt;1,"事件ID缺失或重复",INDEX('共享事件'!$A$2:$M$301,MATCH($B264,'共享事件'!$A$2:$A$301,0),3)))</x:f>
      </x:c>
      <x:c r="M264" s="18" t="str">
        <x:f>IF($B264="","",IF(COUNTIF('共享事件'!$A$2:$A$301,$B264)&lt;&gt;1,"事件ID缺失或重复",INDEX('共享事件'!$A$2:$M$301,MATCH($B264,'共享事件'!$A$2:$A$301,0),4)))</x:f>
      </x:c>
      <x:c r="N264" s="17" t="str">
        <x:f>IF($B264="","",IF(COUNTIF('共享事件'!$A$2:$A$301,$B264)&lt;&gt;1,"事件ID缺失或重复",INDEX('共享事件'!$A$2:$M$301,MATCH($B264,'共享事件'!$A$2:$A$301,0),7)))</x:f>
      </x:c>
      <x:c r="O264" s="17" t="n">
        <x:f>IF($A264="",0,IF(AND($C264='季度总览'!$D$3,$L264='季度总览'!$B$3,OR('季度总览'!$F$3="全部",$D264='季度总览'!$F$3,$D264="全国",$D264="全球")),1,0))</x:f>
        <x:v>0</x:v>
      </x:c>
      <x:c r="P264" s="17" t="str">
        <x:f>IF($A264="","",$K264&amp;"【"&amp;$N264&amp;"】"&amp;CHAR(10)&amp;$D264&amp;"："&amp;$G264)</x:f>
      </x:c>
    </x:row>
    <x:row r="265">
      <x:c r="K265" s="17" t="str">
        <x:f>IF($B265="","",IF(COUNTIF('共享事件'!$A$2:$A$301,$B265)&lt;&gt;1,"事件ID缺失或重复",INDEX('共享事件'!$A$2:$M$301,MATCH($B265,'共享事件'!$A$2:$A$301,0),2)))</x:f>
      </x:c>
      <x:c r="L265" s="18" t="str">
        <x:f>IF($B265="","",IF(COUNTIF('共享事件'!$A$2:$A$301,$B265)&lt;&gt;1,"事件ID缺失或重复",INDEX('共享事件'!$A$2:$M$301,MATCH($B265,'共享事件'!$A$2:$A$301,0),3)))</x:f>
      </x:c>
      <x:c r="M265" s="18" t="str">
        <x:f>IF($B265="","",IF(COUNTIF('共享事件'!$A$2:$A$301,$B265)&lt;&gt;1,"事件ID缺失或重复",INDEX('共享事件'!$A$2:$M$301,MATCH($B265,'共享事件'!$A$2:$A$301,0),4)))</x:f>
      </x:c>
      <x:c r="N265" s="17" t="str">
        <x:f>IF($B265="","",IF(COUNTIF('共享事件'!$A$2:$A$301,$B265)&lt;&gt;1,"事件ID缺失或重复",INDEX('共享事件'!$A$2:$M$301,MATCH($B265,'共享事件'!$A$2:$A$301,0),7)))</x:f>
      </x:c>
      <x:c r="O265" s="17" t="n">
        <x:f>IF($A265="",0,IF(AND($C265='季度总览'!$D$3,$L265='季度总览'!$B$3,OR('季度总览'!$F$3="全部",$D265='季度总览'!$F$3,$D265="全国",$D265="全球")),1,0))</x:f>
        <x:v>0</x:v>
      </x:c>
      <x:c r="P265" s="17" t="str">
        <x:f>IF($A265="","",$K265&amp;"【"&amp;$N265&amp;"】"&amp;CHAR(10)&amp;$D265&amp;"："&amp;$G265)</x:f>
      </x:c>
    </x:row>
    <x:row r="266">
      <x:c r="K266" s="17" t="str">
        <x:f>IF($B266="","",IF(COUNTIF('共享事件'!$A$2:$A$301,$B266)&lt;&gt;1,"事件ID缺失或重复",INDEX('共享事件'!$A$2:$M$301,MATCH($B266,'共享事件'!$A$2:$A$301,0),2)))</x:f>
      </x:c>
      <x:c r="L266" s="18" t="str">
        <x:f>IF($B266="","",IF(COUNTIF('共享事件'!$A$2:$A$301,$B266)&lt;&gt;1,"事件ID缺失或重复",INDEX('共享事件'!$A$2:$M$301,MATCH($B266,'共享事件'!$A$2:$A$301,0),3)))</x:f>
      </x:c>
      <x:c r="M266" s="18" t="str">
        <x:f>IF($B266="","",IF(COUNTIF('共享事件'!$A$2:$A$301,$B266)&lt;&gt;1,"事件ID缺失或重复",INDEX('共享事件'!$A$2:$M$301,MATCH($B266,'共享事件'!$A$2:$A$301,0),4)))</x:f>
      </x:c>
      <x:c r="N266" s="17" t="str">
        <x:f>IF($B266="","",IF(COUNTIF('共享事件'!$A$2:$A$301,$B266)&lt;&gt;1,"事件ID缺失或重复",INDEX('共享事件'!$A$2:$M$301,MATCH($B266,'共享事件'!$A$2:$A$301,0),7)))</x:f>
      </x:c>
      <x:c r="O266" s="17" t="n">
        <x:f>IF($A266="",0,IF(AND($C266='季度总览'!$D$3,$L266='季度总览'!$B$3,OR('季度总览'!$F$3="全部",$D266='季度总览'!$F$3,$D266="全国",$D266="全球")),1,0))</x:f>
        <x:v>0</x:v>
      </x:c>
      <x:c r="P266" s="17" t="str">
        <x:f>IF($A266="","",$K266&amp;"【"&amp;$N266&amp;"】"&amp;CHAR(10)&amp;$D266&amp;"："&amp;$G266)</x:f>
      </x:c>
    </x:row>
    <x:row r="267">
      <x:c r="K267" s="17" t="str">
        <x:f>IF($B267="","",IF(COUNTIF('共享事件'!$A$2:$A$301,$B267)&lt;&gt;1,"事件ID缺失或重复",INDEX('共享事件'!$A$2:$M$301,MATCH($B267,'共享事件'!$A$2:$A$301,0),2)))</x:f>
      </x:c>
      <x:c r="L267" s="18" t="str">
        <x:f>IF($B267="","",IF(COUNTIF('共享事件'!$A$2:$A$301,$B267)&lt;&gt;1,"事件ID缺失或重复",INDEX('共享事件'!$A$2:$M$301,MATCH($B267,'共享事件'!$A$2:$A$301,0),3)))</x:f>
      </x:c>
      <x:c r="M267" s="18" t="str">
        <x:f>IF($B267="","",IF(COUNTIF('共享事件'!$A$2:$A$301,$B267)&lt;&gt;1,"事件ID缺失或重复",INDEX('共享事件'!$A$2:$M$301,MATCH($B267,'共享事件'!$A$2:$A$301,0),4)))</x:f>
      </x:c>
      <x:c r="N267" s="17" t="str">
        <x:f>IF($B267="","",IF(COUNTIF('共享事件'!$A$2:$A$301,$B267)&lt;&gt;1,"事件ID缺失或重复",INDEX('共享事件'!$A$2:$M$301,MATCH($B267,'共享事件'!$A$2:$A$301,0),7)))</x:f>
      </x:c>
      <x:c r="O267" s="17" t="n">
        <x:f>IF($A267="",0,IF(AND($C267='季度总览'!$D$3,$L267='季度总览'!$B$3,OR('季度总览'!$F$3="全部",$D267='季度总览'!$F$3,$D267="全国",$D267="全球")),1,0))</x:f>
        <x:v>0</x:v>
      </x:c>
      <x:c r="P267" s="17" t="str">
        <x:f>IF($A267="","",$K267&amp;"【"&amp;$N267&amp;"】"&amp;CHAR(10)&amp;$D267&amp;"："&amp;$G267)</x:f>
      </x:c>
    </x:row>
    <x:row r="268">
      <x:c r="K268" s="17" t="str">
        <x:f>IF($B268="","",IF(COUNTIF('共享事件'!$A$2:$A$301,$B268)&lt;&gt;1,"事件ID缺失或重复",INDEX('共享事件'!$A$2:$M$301,MATCH($B268,'共享事件'!$A$2:$A$301,0),2)))</x:f>
      </x:c>
      <x:c r="L268" s="18" t="str">
        <x:f>IF($B268="","",IF(COUNTIF('共享事件'!$A$2:$A$301,$B268)&lt;&gt;1,"事件ID缺失或重复",INDEX('共享事件'!$A$2:$M$301,MATCH($B268,'共享事件'!$A$2:$A$301,0),3)))</x:f>
      </x:c>
      <x:c r="M268" s="18" t="str">
        <x:f>IF($B268="","",IF(COUNTIF('共享事件'!$A$2:$A$301,$B268)&lt;&gt;1,"事件ID缺失或重复",INDEX('共享事件'!$A$2:$M$301,MATCH($B268,'共享事件'!$A$2:$A$301,0),4)))</x:f>
      </x:c>
      <x:c r="N268" s="17" t="str">
        <x:f>IF($B268="","",IF(COUNTIF('共享事件'!$A$2:$A$301,$B268)&lt;&gt;1,"事件ID缺失或重复",INDEX('共享事件'!$A$2:$M$301,MATCH($B268,'共享事件'!$A$2:$A$301,0),7)))</x:f>
      </x:c>
      <x:c r="O268" s="17" t="n">
        <x:f>IF($A268="",0,IF(AND($C268='季度总览'!$D$3,$L268='季度总览'!$B$3,OR('季度总览'!$F$3="全部",$D268='季度总览'!$F$3,$D268="全国",$D268="全球")),1,0))</x:f>
        <x:v>0</x:v>
      </x:c>
      <x:c r="P268" s="17" t="str">
        <x:f>IF($A268="","",$K268&amp;"【"&amp;$N268&amp;"】"&amp;CHAR(10)&amp;$D268&amp;"："&amp;$G268)</x:f>
      </x:c>
    </x:row>
    <x:row r="269">
      <x:c r="K269" s="17" t="str">
        <x:f>IF($B269="","",IF(COUNTIF('共享事件'!$A$2:$A$301,$B269)&lt;&gt;1,"事件ID缺失或重复",INDEX('共享事件'!$A$2:$M$301,MATCH($B269,'共享事件'!$A$2:$A$301,0),2)))</x:f>
      </x:c>
      <x:c r="L269" s="18" t="str">
        <x:f>IF($B269="","",IF(COUNTIF('共享事件'!$A$2:$A$301,$B269)&lt;&gt;1,"事件ID缺失或重复",INDEX('共享事件'!$A$2:$M$301,MATCH($B269,'共享事件'!$A$2:$A$301,0),3)))</x:f>
      </x:c>
      <x:c r="M269" s="18" t="str">
        <x:f>IF($B269="","",IF(COUNTIF('共享事件'!$A$2:$A$301,$B269)&lt;&gt;1,"事件ID缺失或重复",INDEX('共享事件'!$A$2:$M$301,MATCH($B269,'共享事件'!$A$2:$A$301,0),4)))</x:f>
      </x:c>
      <x:c r="N269" s="17" t="str">
        <x:f>IF($B269="","",IF(COUNTIF('共享事件'!$A$2:$A$301,$B269)&lt;&gt;1,"事件ID缺失或重复",INDEX('共享事件'!$A$2:$M$301,MATCH($B269,'共享事件'!$A$2:$A$301,0),7)))</x:f>
      </x:c>
      <x:c r="O269" s="17" t="n">
        <x:f>IF($A269="",0,IF(AND($C269='季度总览'!$D$3,$L269='季度总览'!$B$3,OR('季度总览'!$F$3="全部",$D269='季度总览'!$F$3,$D269="全国",$D269="全球")),1,0))</x:f>
        <x:v>0</x:v>
      </x:c>
      <x:c r="P269" s="17" t="str">
        <x:f>IF($A269="","",$K269&amp;"【"&amp;$N269&amp;"】"&amp;CHAR(10)&amp;$D269&amp;"："&amp;$G269)</x:f>
      </x:c>
    </x:row>
    <x:row r="270">
      <x:c r="K270" s="17" t="str">
        <x:f>IF($B270="","",IF(COUNTIF('共享事件'!$A$2:$A$301,$B270)&lt;&gt;1,"事件ID缺失或重复",INDEX('共享事件'!$A$2:$M$301,MATCH($B270,'共享事件'!$A$2:$A$301,0),2)))</x:f>
      </x:c>
      <x:c r="L270" s="18" t="str">
        <x:f>IF($B270="","",IF(COUNTIF('共享事件'!$A$2:$A$301,$B270)&lt;&gt;1,"事件ID缺失或重复",INDEX('共享事件'!$A$2:$M$301,MATCH($B270,'共享事件'!$A$2:$A$301,0),3)))</x:f>
      </x:c>
      <x:c r="M270" s="18" t="str">
        <x:f>IF($B270="","",IF(COUNTIF('共享事件'!$A$2:$A$301,$B270)&lt;&gt;1,"事件ID缺失或重复",INDEX('共享事件'!$A$2:$M$301,MATCH($B270,'共享事件'!$A$2:$A$301,0),4)))</x:f>
      </x:c>
      <x:c r="N270" s="17" t="str">
        <x:f>IF($B270="","",IF(COUNTIF('共享事件'!$A$2:$A$301,$B270)&lt;&gt;1,"事件ID缺失或重复",INDEX('共享事件'!$A$2:$M$301,MATCH($B270,'共享事件'!$A$2:$A$301,0),7)))</x:f>
      </x:c>
      <x:c r="O270" s="17" t="n">
        <x:f>IF($A270="",0,IF(AND($C270='季度总览'!$D$3,$L270='季度总览'!$B$3,OR('季度总览'!$F$3="全部",$D270='季度总览'!$F$3,$D270="全国",$D270="全球")),1,0))</x:f>
        <x:v>0</x:v>
      </x:c>
      <x:c r="P270" s="17" t="str">
        <x:f>IF($A270="","",$K270&amp;"【"&amp;$N270&amp;"】"&amp;CHAR(10)&amp;$D270&amp;"："&amp;$G270)</x:f>
      </x:c>
    </x:row>
    <x:row r="271">
      <x:c r="K271" s="17" t="str">
        <x:f>IF($B271="","",IF(COUNTIF('共享事件'!$A$2:$A$301,$B271)&lt;&gt;1,"事件ID缺失或重复",INDEX('共享事件'!$A$2:$M$301,MATCH($B271,'共享事件'!$A$2:$A$301,0),2)))</x:f>
      </x:c>
      <x:c r="L271" s="18" t="str">
        <x:f>IF($B271="","",IF(COUNTIF('共享事件'!$A$2:$A$301,$B271)&lt;&gt;1,"事件ID缺失或重复",INDEX('共享事件'!$A$2:$M$301,MATCH($B271,'共享事件'!$A$2:$A$301,0),3)))</x:f>
      </x:c>
      <x:c r="M271" s="18" t="str">
        <x:f>IF($B271="","",IF(COUNTIF('共享事件'!$A$2:$A$301,$B271)&lt;&gt;1,"事件ID缺失或重复",INDEX('共享事件'!$A$2:$M$301,MATCH($B271,'共享事件'!$A$2:$A$301,0),4)))</x:f>
      </x:c>
      <x:c r="N271" s="17" t="str">
        <x:f>IF($B271="","",IF(COUNTIF('共享事件'!$A$2:$A$301,$B271)&lt;&gt;1,"事件ID缺失或重复",INDEX('共享事件'!$A$2:$M$301,MATCH($B271,'共享事件'!$A$2:$A$301,0),7)))</x:f>
      </x:c>
      <x:c r="O271" s="17" t="n">
        <x:f>IF($A271="",0,IF(AND($C271='季度总览'!$D$3,$L271='季度总览'!$B$3,OR('季度总览'!$F$3="全部",$D271='季度总览'!$F$3,$D271="全国",$D271="全球")),1,0))</x:f>
        <x:v>0</x:v>
      </x:c>
      <x:c r="P271" s="17" t="str">
        <x:f>IF($A271="","",$K271&amp;"【"&amp;$N271&amp;"】"&amp;CHAR(10)&amp;$D271&amp;"："&amp;$G271)</x:f>
      </x:c>
    </x:row>
    <x:row r="272">
      <x:c r="K272" s="17" t="str">
        <x:f>IF($B272="","",IF(COUNTIF('共享事件'!$A$2:$A$301,$B272)&lt;&gt;1,"事件ID缺失或重复",INDEX('共享事件'!$A$2:$M$301,MATCH($B272,'共享事件'!$A$2:$A$301,0),2)))</x:f>
      </x:c>
      <x:c r="L272" s="18" t="str">
        <x:f>IF($B272="","",IF(COUNTIF('共享事件'!$A$2:$A$301,$B272)&lt;&gt;1,"事件ID缺失或重复",INDEX('共享事件'!$A$2:$M$301,MATCH($B272,'共享事件'!$A$2:$A$301,0),3)))</x:f>
      </x:c>
      <x:c r="M272" s="18" t="str">
        <x:f>IF($B272="","",IF(COUNTIF('共享事件'!$A$2:$A$301,$B272)&lt;&gt;1,"事件ID缺失或重复",INDEX('共享事件'!$A$2:$M$301,MATCH($B272,'共享事件'!$A$2:$A$301,0),4)))</x:f>
      </x:c>
      <x:c r="N272" s="17" t="str">
        <x:f>IF($B272="","",IF(COUNTIF('共享事件'!$A$2:$A$301,$B272)&lt;&gt;1,"事件ID缺失或重复",INDEX('共享事件'!$A$2:$M$301,MATCH($B272,'共享事件'!$A$2:$A$301,0),7)))</x:f>
      </x:c>
      <x:c r="O272" s="17" t="n">
        <x:f>IF($A272="",0,IF(AND($C272='季度总览'!$D$3,$L272='季度总览'!$B$3,OR('季度总览'!$F$3="全部",$D272='季度总览'!$F$3,$D272="全国",$D272="全球")),1,0))</x:f>
        <x:v>0</x:v>
      </x:c>
      <x:c r="P272" s="17" t="str">
        <x:f>IF($A272="","",$K272&amp;"【"&amp;$N272&amp;"】"&amp;CHAR(10)&amp;$D272&amp;"："&amp;$G272)</x:f>
      </x:c>
    </x:row>
    <x:row r="273">
      <x:c r="K273" s="17" t="str">
        <x:f>IF($B273="","",IF(COUNTIF('共享事件'!$A$2:$A$301,$B273)&lt;&gt;1,"事件ID缺失或重复",INDEX('共享事件'!$A$2:$M$301,MATCH($B273,'共享事件'!$A$2:$A$301,0),2)))</x:f>
      </x:c>
      <x:c r="L273" s="18" t="str">
        <x:f>IF($B273="","",IF(COUNTIF('共享事件'!$A$2:$A$301,$B273)&lt;&gt;1,"事件ID缺失或重复",INDEX('共享事件'!$A$2:$M$301,MATCH($B273,'共享事件'!$A$2:$A$301,0),3)))</x:f>
      </x:c>
      <x:c r="M273" s="18" t="str">
        <x:f>IF($B273="","",IF(COUNTIF('共享事件'!$A$2:$A$301,$B273)&lt;&gt;1,"事件ID缺失或重复",INDEX('共享事件'!$A$2:$M$301,MATCH($B273,'共享事件'!$A$2:$A$301,0),4)))</x:f>
      </x:c>
      <x:c r="N273" s="17" t="str">
        <x:f>IF($B273="","",IF(COUNTIF('共享事件'!$A$2:$A$301,$B273)&lt;&gt;1,"事件ID缺失或重复",INDEX('共享事件'!$A$2:$M$301,MATCH($B273,'共享事件'!$A$2:$A$301,0),7)))</x:f>
      </x:c>
      <x:c r="O273" s="17" t="n">
        <x:f>IF($A273="",0,IF(AND($C273='季度总览'!$D$3,$L273='季度总览'!$B$3,OR('季度总览'!$F$3="全部",$D273='季度总览'!$F$3,$D273="全国",$D273="全球")),1,0))</x:f>
        <x:v>0</x:v>
      </x:c>
      <x:c r="P273" s="17" t="str">
        <x:f>IF($A273="","",$K273&amp;"【"&amp;$N273&amp;"】"&amp;CHAR(10)&amp;$D273&amp;"："&amp;$G273)</x:f>
      </x:c>
    </x:row>
    <x:row r="274">
      <x:c r="K274" s="17" t="str">
        <x:f>IF($B274="","",IF(COUNTIF('共享事件'!$A$2:$A$301,$B274)&lt;&gt;1,"事件ID缺失或重复",INDEX('共享事件'!$A$2:$M$301,MATCH($B274,'共享事件'!$A$2:$A$301,0),2)))</x:f>
      </x:c>
      <x:c r="L274" s="18" t="str">
        <x:f>IF($B274="","",IF(COUNTIF('共享事件'!$A$2:$A$301,$B274)&lt;&gt;1,"事件ID缺失或重复",INDEX('共享事件'!$A$2:$M$301,MATCH($B274,'共享事件'!$A$2:$A$301,0),3)))</x:f>
      </x:c>
      <x:c r="M274" s="18" t="str">
        <x:f>IF($B274="","",IF(COUNTIF('共享事件'!$A$2:$A$301,$B274)&lt;&gt;1,"事件ID缺失或重复",INDEX('共享事件'!$A$2:$M$301,MATCH($B274,'共享事件'!$A$2:$A$301,0),4)))</x:f>
      </x:c>
      <x:c r="N274" s="17" t="str">
        <x:f>IF($B274="","",IF(COUNTIF('共享事件'!$A$2:$A$301,$B274)&lt;&gt;1,"事件ID缺失或重复",INDEX('共享事件'!$A$2:$M$301,MATCH($B274,'共享事件'!$A$2:$A$301,0),7)))</x:f>
      </x:c>
      <x:c r="O274" s="17" t="n">
        <x:f>IF($A274="",0,IF(AND($C274='季度总览'!$D$3,$L274='季度总览'!$B$3,OR('季度总览'!$F$3="全部",$D274='季度总览'!$F$3,$D274="全国",$D274="全球")),1,0))</x:f>
        <x:v>0</x:v>
      </x:c>
      <x:c r="P274" s="17" t="str">
        <x:f>IF($A274="","",$K274&amp;"【"&amp;$N274&amp;"】"&amp;CHAR(10)&amp;$D274&amp;"："&amp;$G274)</x:f>
      </x:c>
    </x:row>
    <x:row r="275">
      <x:c r="K275" s="17" t="str">
        <x:f>IF($B275="","",IF(COUNTIF('共享事件'!$A$2:$A$301,$B275)&lt;&gt;1,"事件ID缺失或重复",INDEX('共享事件'!$A$2:$M$301,MATCH($B275,'共享事件'!$A$2:$A$301,0),2)))</x:f>
      </x:c>
      <x:c r="L275" s="18" t="str">
        <x:f>IF($B275="","",IF(COUNTIF('共享事件'!$A$2:$A$301,$B275)&lt;&gt;1,"事件ID缺失或重复",INDEX('共享事件'!$A$2:$M$301,MATCH($B275,'共享事件'!$A$2:$A$301,0),3)))</x:f>
      </x:c>
      <x:c r="M275" s="18" t="str">
        <x:f>IF($B275="","",IF(COUNTIF('共享事件'!$A$2:$A$301,$B275)&lt;&gt;1,"事件ID缺失或重复",INDEX('共享事件'!$A$2:$M$301,MATCH($B275,'共享事件'!$A$2:$A$301,0),4)))</x:f>
      </x:c>
      <x:c r="N275" s="17" t="str">
        <x:f>IF($B275="","",IF(COUNTIF('共享事件'!$A$2:$A$301,$B275)&lt;&gt;1,"事件ID缺失或重复",INDEX('共享事件'!$A$2:$M$301,MATCH($B275,'共享事件'!$A$2:$A$301,0),7)))</x:f>
      </x:c>
      <x:c r="O275" s="17" t="n">
        <x:f>IF($A275="",0,IF(AND($C275='季度总览'!$D$3,$L275='季度总览'!$B$3,OR('季度总览'!$F$3="全部",$D275='季度总览'!$F$3,$D275="全国",$D275="全球")),1,0))</x:f>
        <x:v>0</x:v>
      </x:c>
      <x:c r="P275" s="17" t="str">
        <x:f>IF($A275="","",$K275&amp;"【"&amp;$N275&amp;"】"&amp;CHAR(10)&amp;$D275&amp;"："&amp;$G275)</x:f>
      </x:c>
    </x:row>
    <x:row r="276">
      <x:c r="K276" s="17" t="str">
        <x:f>IF($B276="","",IF(COUNTIF('共享事件'!$A$2:$A$301,$B276)&lt;&gt;1,"事件ID缺失或重复",INDEX('共享事件'!$A$2:$M$301,MATCH($B276,'共享事件'!$A$2:$A$301,0),2)))</x:f>
      </x:c>
      <x:c r="L276" s="18" t="str">
        <x:f>IF($B276="","",IF(COUNTIF('共享事件'!$A$2:$A$301,$B276)&lt;&gt;1,"事件ID缺失或重复",INDEX('共享事件'!$A$2:$M$301,MATCH($B276,'共享事件'!$A$2:$A$301,0),3)))</x:f>
      </x:c>
      <x:c r="M276" s="18" t="str">
        <x:f>IF($B276="","",IF(COUNTIF('共享事件'!$A$2:$A$301,$B276)&lt;&gt;1,"事件ID缺失或重复",INDEX('共享事件'!$A$2:$M$301,MATCH($B276,'共享事件'!$A$2:$A$301,0),4)))</x:f>
      </x:c>
      <x:c r="N276" s="17" t="str">
        <x:f>IF($B276="","",IF(COUNTIF('共享事件'!$A$2:$A$301,$B276)&lt;&gt;1,"事件ID缺失或重复",INDEX('共享事件'!$A$2:$M$301,MATCH($B276,'共享事件'!$A$2:$A$301,0),7)))</x:f>
      </x:c>
      <x:c r="O276" s="17" t="n">
        <x:f>IF($A276="",0,IF(AND($C276='季度总览'!$D$3,$L276='季度总览'!$B$3,OR('季度总览'!$F$3="全部",$D276='季度总览'!$F$3,$D276="全国",$D276="全球")),1,0))</x:f>
        <x:v>0</x:v>
      </x:c>
      <x:c r="P276" s="17" t="str">
        <x:f>IF($A276="","",$K276&amp;"【"&amp;$N276&amp;"】"&amp;CHAR(10)&amp;$D276&amp;"："&amp;$G276)</x:f>
      </x:c>
    </x:row>
    <x:row r="277">
      <x:c r="K277" s="17" t="str">
        <x:f>IF($B277="","",IF(COUNTIF('共享事件'!$A$2:$A$301,$B277)&lt;&gt;1,"事件ID缺失或重复",INDEX('共享事件'!$A$2:$M$301,MATCH($B277,'共享事件'!$A$2:$A$301,0),2)))</x:f>
      </x:c>
      <x:c r="L277" s="18" t="str">
        <x:f>IF($B277="","",IF(COUNTIF('共享事件'!$A$2:$A$301,$B277)&lt;&gt;1,"事件ID缺失或重复",INDEX('共享事件'!$A$2:$M$301,MATCH($B277,'共享事件'!$A$2:$A$301,0),3)))</x:f>
      </x:c>
      <x:c r="M277" s="18" t="str">
        <x:f>IF($B277="","",IF(COUNTIF('共享事件'!$A$2:$A$301,$B277)&lt;&gt;1,"事件ID缺失或重复",INDEX('共享事件'!$A$2:$M$301,MATCH($B277,'共享事件'!$A$2:$A$301,0),4)))</x:f>
      </x:c>
      <x:c r="N277" s="17" t="str">
        <x:f>IF($B277="","",IF(COUNTIF('共享事件'!$A$2:$A$301,$B277)&lt;&gt;1,"事件ID缺失或重复",INDEX('共享事件'!$A$2:$M$301,MATCH($B277,'共享事件'!$A$2:$A$301,0),7)))</x:f>
      </x:c>
      <x:c r="O277" s="17" t="n">
        <x:f>IF($A277="",0,IF(AND($C277='季度总览'!$D$3,$L277='季度总览'!$B$3,OR('季度总览'!$F$3="全部",$D277='季度总览'!$F$3,$D277="全国",$D277="全球")),1,0))</x:f>
        <x:v>0</x:v>
      </x:c>
      <x:c r="P277" s="17" t="str">
        <x:f>IF($A277="","",$K277&amp;"【"&amp;$N277&amp;"】"&amp;CHAR(10)&amp;$D277&amp;"："&amp;$G277)</x:f>
      </x:c>
    </x:row>
    <x:row r="278">
      <x:c r="K278" s="17" t="str">
        <x:f>IF($B278="","",IF(COUNTIF('共享事件'!$A$2:$A$301,$B278)&lt;&gt;1,"事件ID缺失或重复",INDEX('共享事件'!$A$2:$M$301,MATCH($B278,'共享事件'!$A$2:$A$301,0),2)))</x:f>
      </x:c>
      <x:c r="L278" s="18" t="str">
        <x:f>IF($B278="","",IF(COUNTIF('共享事件'!$A$2:$A$301,$B278)&lt;&gt;1,"事件ID缺失或重复",INDEX('共享事件'!$A$2:$M$301,MATCH($B278,'共享事件'!$A$2:$A$301,0),3)))</x:f>
      </x:c>
      <x:c r="M278" s="18" t="str">
        <x:f>IF($B278="","",IF(COUNTIF('共享事件'!$A$2:$A$301,$B278)&lt;&gt;1,"事件ID缺失或重复",INDEX('共享事件'!$A$2:$M$301,MATCH($B278,'共享事件'!$A$2:$A$301,0),4)))</x:f>
      </x:c>
      <x:c r="N278" s="17" t="str">
        <x:f>IF($B278="","",IF(COUNTIF('共享事件'!$A$2:$A$301,$B278)&lt;&gt;1,"事件ID缺失或重复",INDEX('共享事件'!$A$2:$M$301,MATCH($B278,'共享事件'!$A$2:$A$301,0),7)))</x:f>
      </x:c>
      <x:c r="O278" s="17" t="n">
        <x:f>IF($A278="",0,IF(AND($C278='季度总览'!$D$3,$L278='季度总览'!$B$3,OR('季度总览'!$F$3="全部",$D278='季度总览'!$F$3,$D278="全国",$D278="全球")),1,0))</x:f>
        <x:v>0</x:v>
      </x:c>
      <x:c r="P278" s="17" t="str">
        <x:f>IF($A278="","",$K278&amp;"【"&amp;$N278&amp;"】"&amp;CHAR(10)&amp;$D278&amp;"："&amp;$G278)</x:f>
      </x:c>
    </x:row>
    <x:row r="279">
      <x:c r="K279" s="17" t="str">
        <x:f>IF($B279="","",IF(COUNTIF('共享事件'!$A$2:$A$301,$B279)&lt;&gt;1,"事件ID缺失或重复",INDEX('共享事件'!$A$2:$M$301,MATCH($B279,'共享事件'!$A$2:$A$301,0),2)))</x:f>
      </x:c>
      <x:c r="L279" s="18" t="str">
        <x:f>IF($B279="","",IF(COUNTIF('共享事件'!$A$2:$A$301,$B279)&lt;&gt;1,"事件ID缺失或重复",INDEX('共享事件'!$A$2:$M$301,MATCH($B279,'共享事件'!$A$2:$A$301,0),3)))</x:f>
      </x:c>
      <x:c r="M279" s="18" t="str">
        <x:f>IF($B279="","",IF(COUNTIF('共享事件'!$A$2:$A$301,$B279)&lt;&gt;1,"事件ID缺失或重复",INDEX('共享事件'!$A$2:$M$301,MATCH($B279,'共享事件'!$A$2:$A$301,0),4)))</x:f>
      </x:c>
      <x:c r="N279" s="17" t="str">
        <x:f>IF($B279="","",IF(COUNTIF('共享事件'!$A$2:$A$301,$B279)&lt;&gt;1,"事件ID缺失或重复",INDEX('共享事件'!$A$2:$M$301,MATCH($B279,'共享事件'!$A$2:$A$301,0),7)))</x:f>
      </x:c>
      <x:c r="O279" s="17" t="n">
        <x:f>IF($A279="",0,IF(AND($C279='季度总览'!$D$3,$L279='季度总览'!$B$3,OR('季度总览'!$F$3="全部",$D279='季度总览'!$F$3,$D279="全国",$D279="全球")),1,0))</x:f>
        <x:v>0</x:v>
      </x:c>
      <x:c r="P279" s="17" t="str">
        <x:f>IF($A279="","",$K279&amp;"【"&amp;$N279&amp;"】"&amp;CHAR(10)&amp;$D279&amp;"："&amp;$G279)</x:f>
      </x:c>
    </x:row>
    <x:row r="280">
      <x:c r="K280" s="17" t="str">
        <x:f>IF($B280="","",IF(COUNTIF('共享事件'!$A$2:$A$301,$B280)&lt;&gt;1,"事件ID缺失或重复",INDEX('共享事件'!$A$2:$M$301,MATCH($B280,'共享事件'!$A$2:$A$301,0),2)))</x:f>
      </x:c>
      <x:c r="L280" s="18" t="str">
        <x:f>IF($B280="","",IF(COUNTIF('共享事件'!$A$2:$A$301,$B280)&lt;&gt;1,"事件ID缺失或重复",INDEX('共享事件'!$A$2:$M$301,MATCH($B280,'共享事件'!$A$2:$A$301,0),3)))</x:f>
      </x:c>
      <x:c r="M280" s="18" t="str">
        <x:f>IF($B280="","",IF(COUNTIF('共享事件'!$A$2:$A$301,$B280)&lt;&gt;1,"事件ID缺失或重复",INDEX('共享事件'!$A$2:$M$301,MATCH($B280,'共享事件'!$A$2:$A$301,0),4)))</x:f>
      </x:c>
      <x:c r="N280" s="17" t="str">
        <x:f>IF($B280="","",IF(COUNTIF('共享事件'!$A$2:$A$301,$B280)&lt;&gt;1,"事件ID缺失或重复",INDEX('共享事件'!$A$2:$M$301,MATCH($B280,'共享事件'!$A$2:$A$301,0),7)))</x:f>
      </x:c>
      <x:c r="O280" s="17" t="n">
        <x:f>IF($A280="",0,IF(AND($C280='季度总览'!$D$3,$L280='季度总览'!$B$3,OR('季度总览'!$F$3="全部",$D280='季度总览'!$F$3,$D280="全国",$D280="全球")),1,0))</x:f>
        <x:v>0</x:v>
      </x:c>
      <x:c r="P280" s="17" t="str">
        <x:f>IF($A280="","",$K280&amp;"【"&amp;$N280&amp;"】"&amp;CHAR(10)&amp;$D280&amp;"："&amp;$G280)</x:f>
      </x:c>
    </x:row>
    <x:row r="281">
      <x:c r="K281" s="17" t="str">
        <x:f>IF($B281="","",IF(COUNTIF('共享事件'!$A$2:$A$301,$B281)&lt;&gt;1,"事件ID缺失或重复",INDEX('共享事件'!$A$2:$M$301,MATCH($B281,'共享事件'!$A$2:$A$301,0),2)))</x:f>
      </x:c>
      <x:c r="L281" s="18" t="str">
        <x:f>IF($B281="","",IF(COUNTIF('共享事件'!$A$2:$A$301,$B281)&lt;&gt;1,"事件ID缺失或重复",INDEX('共享事件'!$A$2:$M$301,MATCH($B281,'共享事件'!$A$2:$A$301,0),3)))</x:f>
      </x:c>
      <x:c r="M281" s="18" t="str">
        <x:f>IF($B281="","",IF(COUNTIF('共享事件'!$A$2:$A$301,$B281)&lt;&gt;1,"事件ID缺失或重复",INDEX('共享事件'!$A$2:$M$301,MATCH($B281,'共享事件'!$A$2:$A$301,0),4)))</x:f>
      </x:c>
      <x:c r="N281" s="17" t="str">
        <x:f>IF($B281="","",IF(COUNTIF('共享事件'!$A$2:$A$301,$B281)&lt;&gt;1,"事件ID缺失或重复",INDEX('共享事件'!$A$2:$M$301,MATCH($B281,'共享事件'!$A$2:$A$301,0),7)))</x:f>
      </x:c>
      <x:c r="O281" s="17" t="n">
        <x:f>IF($A281="",0,IF(AND($C281='季度总览'!$D$3,$L281='季度总览'!$B$3,OR('季度总览'!$F$3="全部",$D281='季度总览'!$F$3,$D281="全国",$D281="全球")),1,0))</x:f>
        <x:v>0</x:v>
      </x:c>
      <x:c r="P281" s="17" t="str">
        <x:f>IF($A281="","",$K281&amp;"【"&amp;$N281&amp;"】"&amp;CHAR(10)&amp;$D281&amp;"："&amp;$G281)</x:f>
      </x:c>
    </x:row>
    <x:row r="282">
      <x:c r="K282" s="17" t="str">
        <x:f>IF($B282="","",IF(COUNTIF('共享事件'!$A$2:$A$301,$B282)&lt;&gt;1,"事件ID缺失或重复",INDEX('共享事件'!$A$2:$M$301,MATCH($B282,'共享事件'!$A$2:$A$301,0),2)))</x:f>
      </x:c>
      <x:c r="L282" s="18" t="str">
        <x:f>IF($B282="","",IF(COUNTIF('共享事件'!$A$2:$A$301,$B282)&lt;&gt;1,"事件ID缺失或重复",INDEX('共享事件'!$A$2:$M$301,MATCH($B282,'共享事件'!$A$2:$A$301,0),3)))</x:f>
      </x:c>
      <x:c r="M282" s="18" t="str">
        <x:f>IF($B282="","",IF(COUNTIF('共享事件'!$A$2:$A$301,$B282)&lt;&gt;1,"事件ID缺失或重复",INDEX('共享事件'!$A$2:$M$301,MATCH($B282,'共享事件'!$A$2:$A$301,0),4)))</x:f>
      </x:c>
      <x:c r="N282" s="17" t="str">
        <x:f>IF($B282="","",IF(COUNTIF('共享事件'!$A$2:$A$301,$B282)&lt;&gt;1,"事件ID缺失或重复",INDEX('共享事件'!$A$2:$M$301,MATCH($B282,'共享事件'!$A$2:$A$301,0),7)))</x:f>
      </x:c>
      <x:c r="O282" s="17" t="n">
        <x:f>IF($A282="",0,IF(AND($C282='季度总览'!$D$3,$L282='季度总览'!$B$3,OR('季度总览'!$F$3="全部",$D282='季度总览'!$F$3,$D282="全国",$D282="全球")),1,0))</x:f>
        <x:v>0</x:v>
      </x:c>
      <x:c r="P282" s="17" t="str">
        <x:f>IF($A282="","",$K282&amp;"【"&amp;$N282&amp;"】"&amp;CHAR(10)&amp;$D282&amp;"："&amp;$G282)</x:f>
      </x:c>
    </x:row>
    <x:row r="283">
      <x:c r="K283" s="17" t="str">
        <x:f>IF($B283="","",IF(COUNTIF('共享事件'!$A$2:$A$301,$B283)&lt;&gt;1,"事件ID缺失或重复",INDEX('共享事件'!$A$2:$M$301,MATCH($B283,'共享事件'!$A$2:$A$301,0),2)))</x:f>
      </x:c>
      <x:c r="L283" s="18" t="str">
        <x:f>IF($B283="","",IF(COUNTIF('共享事件'!$A$2:$A$301,$B283)&lt;&gt;1,"事件ID缺失或重复",INDEX('共享事件'!$A$2:$M$301,MATCH($B283,'共享事件'!$A$2:$A$301,0),3)))</x:f>
      </x:c>
      <x:c r="M283" s="18" t="str">
        <x:f>IF($B283="","",IF(COUNTIF('共享事件'!$A$2:$A$301,$B283)&lt;&gt;1,"事件ID缺失或重复",INDEX('共享事件'!$A$2:$M$301,MATCH($B283,'共享事件'!$A$2:$A$301,0),4)))</x:f>
      </x:c>
      <x:c r="N283" s="17" t="str">
        <x:f>IF($B283="","",IF(COUNTIF('共享事件'!$A$2:$A$301,$B283)&lt;&gt;1,"事件ID缺失或重复",INDEX('共享事件'!$A$2:$M$301,MATCH($B283,'共享事件'!$A$2:$A$301,0),7)))</x:f>
      </x:c>
      <x:c r="O283" s="17" t="n">
        <x:f>IF($A283="",0,IF(AND($C283='季度总览'!$D$3,$L283='季度总览'!$B$3,OR('季度总览'!$F$3="全部",$D283='季度总览'!$F$3,$D283="全国",$D283="全球")),1,0))</x:f>
        <x:v>0</x:v>
      </x:c>
      <x:c r="P283" s="17" t="str">
        <x:f>IF($A283="","",$K283&amp;"【"&amp;$N283&amp;"】"&amp;CHAR(10)&amp;$D283&amp;"："&amp;$G283)</x:f>
      </x:c>
    </x:row>
    <x:row r="284">
      <x:c r="K284" s="17" t="str">
        <x:f>IF($B284="","",IF(COUNTIF('共享事件'!$A$2:$A$301,$B284)&lt;&gt;1,"事件ID缺失或重复",INDEX('共享事件'!$A$2:$M$301,MATCH($B284,'共享事件'!$A$2:$A$301,0),2)))</x:f>
      </x:c>
      <x:c r="L284" s="18" t="str">
        <x:f>IF($B284="","",IF(COUNTIF('共享事件'!$A$2:$A$301,$B284)&lt;&gt;1,"事件ID缺失或重复",INDEX('共享事件'!$A$2:$M$301,MATCH($B284,'共享事件'!$A$2:$A$301,0),3)))</x:f>
      </x:c>
      <x:c r="M284" s="18" t="str">
        <x:f>IF($B284="","",IF(COUNTIF('共享事件'!$A$2:$A$301,$B284)&lt;&gt;1,"事件ID缺失或重复",INDEX('共享事件'!$A$2:$M$301,MATCH($B284,'共享事件'!$A$2:$A$301,0),4)))</x:f>
      </x:c>
      <x:c r="N284" s="17" t="str">
        <x:f>IF($B284="","",IF(COUNTIF('共享事件'!$A$2:$A$301,$B284)&lt;&gt;1,"事件ID缺失或重复",INDEX('共享事件'!$A$2:$M$301,MATCH($B284,'共享事件'!$A$2:$A$301,0),7)))</x:f>
      </x:c>
      <x:c r="O284" s="17" t="n">
        <x:f>IF($A284="",0,IF(AND($C284='季度总览'!$D$3,$L284='季度总览'!$B$3,OR('季度总览'!$F$3="全部",$D284='季度总览'!$F$3,$D284="全国",$D284="全球")),1,0))</x:f>
        <x:v>0</x:v>
      </x:c>
      <x:c r="P284" s="17" t="str">
        <x:f>IF($A284="","",$K284&amp;"【"&amp;$N284&amp;"】"&amp;CHAR(10)&amp;$D284&amp;"："&amp;$G284)</x:f>
      </x:c>
    </x:row>
    <x:row r="285">
      <x:c r="K285" s="17" t="str">
        <x:f>IF($B285="","",IF(COUNTIF('共享事件'!$A$2:$A$301,$B285)&lt;&gt;1,"事件ID缺失或重复",INDEX('共享事件'!$A$2:$M$301,MATCH($B285,'共享事件'!$A$2:$A$301,0),2)))</x:f>
      </x:c>
      <x:c r="L285" s="18" t="str">
        <x:f>IF($B285="","",IF(COUNTIF('共享事件'!$A$2:$A$301,$B285)&lt;&gt;1,"事件ID缺失或重复",INDEX('共享事件'!$A$2:$M$301,MATCH($B285,'共享事件'!$A$2:$A$301,0),3)))</x:f>
      </x:c>
      <x:c r="M285" s="18" t="str">
        <x:f>IF($B285="","",IF(COUNTIF('共享事件'!$A$2:$A$301,$B285)&lt;&gt;1,"事件ID缺失或重复",INDEX('共享事件'!$A$2:$M$301,MATCH($B285,'共享事件'!$A$2:$A$301,0),4)))</x:f>
      </x:c>
      <x:c r="N285" s="17" t="str">
        <x:f>IF($B285="","",IF(COUNTIF('共享事件'!$A$2:$A$301,$B285)&lt;&gt;1,"事件ID缺失或重复",INDEX('共享事件'!$A$2:$M$301,MATCH($B285,'共享事件'!$A$2:$A$301,0),7)))</x:f>
      </x:c>
      <x:c r="O285" s="17" t="n">
        <x:f>IF($A285="",0,IF(AND($C285='季度总览'!$D$3,$L285='季度总览'!$B$3,OR('季度总览'!$F$3="全部",$D285='季度总览'!$F$3,$D285="全国",$D285="全球")),1,0))</x:f>
        <x:v>0</x:v>
      </x:c>
      <x:c r="P285" s="17" t="str">
        <x:f>IF($A285="","",$K285&amp;"【"&amp;$N285&amp;"】"&amp;CHAR(10)&amp;$D285&amp;"："&amp;$G285)</x:f>
      </x:c>
    </x:row>
    <x:row r="286">
      <x:c r="K286" s="17" t="str">
        <x:f>IF($B286="","",IF(COUNTIF('共享事件'!$A$2:$A$301,$B286)&lt;&gt;1,"事件ID缺失或重复",INDEX('共享事件'!$A$2:$M$301,MATCH($B286,'共享事件'!$A$2:$A$301,0),2)))</x:f>
      </x:c>
      <x:c r="L286" s="18" t="str">
        <x:f>IF($B286="","",IF(COUNTIF('共享事件'!$A$2:$A$301,$B286)&lt;&gt;1,"事件ID缺失或重复",INDEX('共享事件'!$A$2:$M$301,MATCH($B286,'共享事件'!$A$2:$A$301,0),3)))</x:f>
      </x:c>
      <x:c r="M286" s="18" t="str">
        <x:f>IF($B286="","",IF(COUNTIF('共享事件'!$A$2:$A$301,$B286)&lt;&gt;1,"事件ID缺失或重复",INDEX('共享事件'!$A$2:$M$301,MATCH($B286,'共享事件'!$A$2:$A$301,0),4)))</x:f>
      </x:c>
      <x:c r="N286" s="17" t="str">
        <x:f>IF($B286="","",IF(COUNTIF('共享事件'!$A$2:$A$301,$B286)&lt;&gt;1,"事件ID缺失或重复",INDEX('共享事件'!$A$2:$M$301,MATCH($B286,'共享事件'!$A$2:$A$301,0),7)))</x:f>
      </x:c>
      <x:c r="O286" s="17" t="n">
        <x:f>IF($A286="",0,IF(AND($C286='季度总览'!$D$3,$L286='季度总览'!$B$3,OR('季度总览'!$F$3="全部",$D286='季度总览'!$F$3,$D286="全国",$D286="全球")),1,0))</x:f>
        <x:v>0</x:v>
      </x:c>
      <x:c r="P286" s="17" t="str">
        <x:f>IF($A286="","",$K286&amp;"【"&amp;$N286&amp;"】"&amp;CHAR(10)&amp;$D286&amp;"："&amp;$G286)</x:f>
      </x:c>
    </x:row>
    <x:row r="287">
      <x:c r="K287" s="17" t="str">
        <x:f>IF($B287="","",IF(COUNTIF('共享事件'!$A$2:$A$301,$B287)&lt;&gt;1,"事件ID缺失或重复",INDEX('共享事件'!$A$2:$M$301,MATCH($B287,'共享事件'!$A$2:$A$301,0),2)))</x:f>
      </x:c>
      <x:c r="L287" s="18" t="str">
        <x:f>IF($B287="","",IF(COUNTIF('共享事件'!$A$2:$A$301,$B287)&lt;&gt;1,"事件ID缺失或重复",INDEX('共享事件'!$A$2:$M$301,MATCH($B287,'共享事件'!$A$2:$A$301,0),3)))</x:f>
      </x:c>
      <x:c r="M287" s="18" t="str">
        <x:f>IF($B287="","",IF(COUNTIF('共享事件'!$A$2:$A$301,$B287)&lt;&gt;1,"事件ID缺失或重复",INDEX('共享事件'!$A$2:$M$301,MATCH($B287,'共享事件'!$A$2:$A$301,0),4)))</x:f>
      </x:c>
      <x:c r="N287" s="17" t="str">
        <x:f>IF($B287="","",IF(COUNTIF('共享事件'!$A$2:$A$301,$B287)&lt;&gt;1,"事件ID缺失或重复",INDEX('共享事件'!$A$2:$M$301,MATCH($B287,'共享事件'!$A$2:$A$301,0),7)))</x:f>
      </x:c>
      <x:c r="O287" s="17" t="n">
        <x:f>IF($A287="",0,IF(AND($C287='季度总览'!$D$3,$L287='季度总览'!$B$3,OR('季度总览'!$F$3="全部",$D287='季度总览'!$F$3,$D287="全国",$D287="全球")),1,0))</x:f>
        <x:v>0</x:v>
      </x:c>
      <x:c r="P287" s="17" t="str">
        <x:f>IF($A287="","",$K287&amp;"【"&amp;$N287&amp;"】"&amp;CHAR(10)&amp;$D287&amp;"："&amp;$G287)</x:f>
      </x:c>
    </x:row>
    <x:row r="288">
      <x:c r="K288" s="17" t="str">
        <x:f>IF($B288="","",IF(COUNTIF('共享事件'!$A$2:$A$301,$B288)&lt;&gt;1,"事件ID缺失或重复",INDEX('共享事件'!$A$2:$M$301,MATCH($B288,'共享事件'!$A$2:$A$301,0),2)))</x:f>
      </x:c>
      <x:c r="L288" s="18" t="str">
        <x:f>IF($B288="","",IF(COUNTIF('共享事件'!$A$2:$A$301,$B288)&lt;&gt;1,"事件ID缺失或重复",INDEX('共享事件'!$A$2:$M$301,MATCH($B288,'共享事件'!$A$2:$A$301,0),3)))</x:f>
      </x:c>
      <x:c r="M288" s="18" t="str">
        <x:f>IF($B288="","",IF(COUNTIF('共享事件'!$A$2:$A$301,$B288)&lt;&gt;1,"事件ID缺失或重复",INDEX('共享事件'!$A$2:$M$301,MATCH($B288,'共享事件'!$A$2:$A$301,0),4)))</x:f>
      </x:c>
      <x:c r="N288" s="17" t="str">
        <x:f>IF($B288="","",IF(COUNTIF('共享事件'!$A$2:$A$301,$B288)&lt;&gt;1,"事件ID缺失或重复",INDEX('共享事件'!$A$2:$M$301,MATCH($B288,'共享事件'!$A$2:$A$301,0),7)))</x:f>
      </x:c>
      <x:c r="O288" s="17" t="n">
        <x:f>IF($A288="",0,IF(AND($C288='季度总览'!$D$3,$L288='季度总览'!$B$3,OR('季度总览'!$F$3="全部",$D288='季度总览'!$F$3,$D288="全国",$D288="全球")),1,0))</x:f>
        <x:v>0</x:v>
      </x:c>
      <x:c r="P288" s="17" t="str">
        <x:f>IF($A288="","",$K288&amp;"【"&amp;$N288&amp;"】"&amp;CHAR(10)&amp;$D288&amp;"："&amp;$G288)</x:f>
      </x:c>
    </x:row>
    <x:row r="289">
      <x:c r="K289" s="17" t="str">
        <x:f>IF($B289="","",IF(COUNTIF('共享事件'!$A$2:$A$301,$B289)&lt;&gt;1,"事件ID缺失或重复",INDEX('共享事件'!$A$2:$M$301,MATCH($B289,'共享事件'!$A$2:$A$301,0),2)))</x:f>
      </x:c>
      <x:c r="L289" s="18" t="str">
        <x:f>IF($B289="","",IF(COUNTIF('共享事件'!$A$2:$A$301,$B289)&lt;&gt;1,"事件ID缺失或重复",INDEX('共享事件'!$A$2:$M$301,MATCH($B289,'共享事件'!$A$2:$A$301,0),3)))</x:f>
      </x:c>
      <x:c r="M289" s="18" t="str">
        <x:f>IF($B289="","",IF(COUNTIF('共享事件'!$A$2:$A$301,$B289)&lt;&gt;1,"事件ID缺失或重复",INDEX('共享事件'!$A$2:$M$301,MATCH($B289,'共享事件'!$A$2:$A$301,0),4)))</x:f>
      </x:c>
      <x:c r="N289" s="17" t="str">
        <x:f>IF($B289="","",IF(COUNTIF('共享事件'!$A$2:$A$301,$B289)&lt;&gt;1,"事件ID缺失或重复",INDEX('共享事件'!$A$2:$M$301,MATCH($B289,'共享事件'!$A$2:$A$301,0),7)))</x:f>
      </x:c>
      <x:c r="O289" s="17" t="n">
        <x:f>IF($A289="",0,IF(AND($C289='季度总览'!$D$3,$L289='季度总览'!$B$3,OR('季度总览'!$F$3="全部",$D289='季度总览'!$F$3,$D289="全国",$D289="全球")),1,0))</x:f>
        <x:v>0</x:v>
      </x:c>
      <x:c r="P289" s="17" t="str">
        <x:f>IF($A289="","",$K289&amp;"【"&amp;$N289&amp;"】"&amp;CHAR(10)&amp;$D289&amp;"："&amp;$G289)</x:f>
      </x:c>
    </x:row>
    <x:row r="290">
      <x:c r="K290" s="17" t="str">
        <x:f>IF($B290="","",IF(COUNTIF('共享事件'!$A$2:$A$301,$B290)&lt;&gt;1,"事件ID缺失或重复",INDEX('共享事件'!$A$2:$M$301,MATCH($B290,'共享事件'!$A$2:$A$301,0),2)))</x:f>
      </x:c>
      <x:c r="L290" s="18" t="str">
        <x:f>IF($B290="","",IF(COUNTIF('共享事件'!$A$2:$A$301,$B290)&lt;&gt;1,"事件ID缺失或重复",INDEX('共享事件'!$A$2:$M$301,MATCH($B290,'共享事件'!$A$2:$A$301,0),3)))</x:f>
      </x:c>
      <x:c r="M290" s="18" t="str">
        <x:f>IF($B290="","",IF(COUNTIF('共享事件'!$A$2:$A$301,$B290)&lt;&gt;1,"事件ID缺失或重复",INDEX('共享事件'!$A$2:$M$301,MATCH($B290,'共享事件'!$A$2:$A$301,0),4)))</x:f>
      </x:c>
      <x:c r="N290" s="17" t="str">
        <x:f>IF($B290="","",IF(COUNTIF('共享事件'!$A$2:$A$301,$B290)&lt;&gt;1,"事件ID缺失或重复",INDEX('共享事件'!$A$2:$M$301,MATCH($B290,'共享事件'!$A$2:$A$301,0),7)))</x:f>
      </x:c>
      <x:c r="O290" s="17" t="n">
        <x:f>IF($A290="",0,IF(AND($C290='季度总览'!$D$3,$L290='季度总览'!$B$3,OR('季度总览'!$F$3="全部",$D290='季度总览'!$F$3,$D290="全国",$D290="全球")),1,0))</x:f>
        <x:v>0</x:v>
      </x:c>
      <x:c r="P290" s="17" t="str">
        <x:f>IF($A290="","",$K290&amp;"【"&amp;$N290&amp;"】"&amp;CHAR(10)&amp;$D290&amp;"："&amp;$G290)</x:f>
      </x:c>
    </x:row>
    <x:row r="291">
      <x:c r="K291" s="17" t="str">
        <x:f>IF($B291="","",IF(COUNTIF('共享事件'!$A$2:$A$301,$B291)&lt;&gt;1,"事件ID缺失或重复",INDEX('共享事件'!$A$2:$M$301,MATCH($B291,'共享事件'!$A$2:$A$301,0),2)))</x:f>
      </x:c>
      <x:c r="L291" s="18" t="str">
        <x:f>IF($B291="","",IF(COUNTIF('共享事件'!$A$2:$A$301,$B291)&lt;&gt;1,"事件ID缺失或重复",INDEX('共享事件'!$A$2:$M$301,MATCH($B291,'共享事件'!$A$2:$A$301,0),3)))</x:f>
      </x:c>
      <x:c r="M291" s="18" t="str">
        <x:f>IF($B291="","",IF(COUNTIF('共享事件'!$A$2:$A$301,$B291)&lt;&gt;1,"事件ID缺失或重复",INDEX('共享事件'!$A$2:$M$301,MATCH($B291,'共享事件'!$A$2:$A$301,0),4)))</x:f>
      </x:c>
      <x:c r="N291" s="17" t="str">
        <x:f>IF($B291="","",IF(COUNTIF('共享事件'!$A$2:$A$301,$B291)&lt;&gt;1,"事件ID缺失或重复",INDEX('共享事件'!$A$2:$M$301,MATCH($B291,'共享事件'!$A$2:$A$301,0),7)))</x:f>
      </x:c>
      <x:c r="O291" s="17" t="n">
        <x:f>IF($A291="",0,IF(AND($C291='季度总览'!$D$3,$L291='季度总览'!$B$3,OR('季度总览'!$F$3="全部",$D291='季度总览'!$F$3,$D291="全国",$D291="全球")),1,0))</x:f>
        <x:v>0</x:v>
      </x:c>
      <x:c r="P291" s="17" t="str">
        <x:f>IF($A291="","",$K291&amp;"【"&amp;$N291&amp;"】"&amp;CHAR(10)&amp;$D291&amp;"："&amp;$G291)</x:f>
      </x:c>
    </x:row>
    <x:row r="292">
      <x:c r="K292" s="17" t="str">
        <x:f>IF($B292="","",IF(COUNTIF('共享事件'!$A$2:$A$301,$B292)&lt;&gt;1,"事件ID缺失或重复",INDEX('共享事件'!$A$2:$M$301,MATCH($B292,'共享事件'!$A$2:$A$301,0),2)))</x:f>
      </x:c>
      <x:c r="L292" s="18" t="str">
        <x:f>IF($B292="","",IF(COUNTIF('共享事件'!$A$2:$A$301,$B292)&lt;&gt;1,"事件ID缺失或重复",INDEX('共享事件'!$A$2:$M$301,MATCH($B292,'共享事件'!$A$2:$A$301,0),3)))</x:f>
      </x:c>
      <x:c r="M292" s="18" t="str">
        <x:f>IF($B292="","",IF(COUNTIF('共享事件'!$A$2:$A$301,$B292)&lt;&gt;1,"事件ID缺失或重复",INDEX('共享事件'!$A$2:$M$301,MATCH($B292,'共享事件'!$A$2:$A$301,0),4)))</x:f>
      </x:c>
      <x:c r="N292" s="17" t="str">
        <x:f>IF($B292="","",IF(COUNTIF('共享事件'!$A$2:$A$301,$B292)&lt;&gt;1,"事件ID缺失或重复",INDEX('共享事件'!$A$2:$M$301,MATCH($B292,'共享事件'!$A$2:$A$301,0),7)))</x:f>
      </x:c>
      <x:c r="O292" s="17" t="n">
        <x:f>IF($A292="",0,IF(AND($C292='季度总览'!$D$3,$L292='季度总览'!$B$3,OR('季度总览'!$F$3="全部",$D292='季度总览'!$F$3,$D292="全国",$D292="全球")),1,0))</x:f>
        <x:v>0</x:v>
      </x:c>
      <x:c r="P292" s="17" t="str">
        <x:f>IF($A292="","",$K292&amp;"【"&amp;$N292&amp;"】"&amp;CHAR(10)&amp;$D292&amp;"："&amp;$G292)</x:f>
      </x:c>
    </x:row>
    <x:row r="293">
      <x:c r="K293" s="17" t="str">
        <x:f>IF($B293="","",IF(COUNTIF('共享事件'!$A$2:$A$301,$B293)&lt;&gt;1,"事件ID缺失或重复",INDEX('共享事件'!$A$2:$M$301,MATCH($B293,'共享事件'!$A$2:$A$301,0),2)))</x:f>
      </x:c>
      <x:c r="L293" s="18" t="str">
        <x:f>IF($B293="","",IF(COUNTIF('共享事件'!$A$2:$A$301,$B293)&lt;&gt;1,"事件ID缺失或重复",INDEX('共享事件'!$A$2:$M$301,MATCH($B293,'共享事件'!$A$2:$A$301,0),3)))</x:f>
      </x:c>
      <x:c r="M293" s="18" t="str">
        <x:f>IF($B293="","",IF(COUNTIF('共享事件'!$A$2:$A$301,$B293)&lt;&gt;1,"事件ID缺失或重复",INDEX('共享事件'!$A$2:$M$301,MATCH($B293,'共享事件'!$A$2:$A$301,0),4)))</x:f>
      </x:c>
      <x:c r="N293" s="17" t="str">
        <x:f>IF($B293="","",IF(COUNTIF('共享事件'!$A$2:$A$301,$B293)&lt;&gt;1,"事件ID缺失或重复",INDEX('共享事件'!$A$2:$M$301,MATCH($B293,'共享事件'!$A$2:$A$301,0),7)))</x:f>
      </x:c>
      <x:c r="O293" s="17" t="n">
        <x:f>IF($A293="",0,IF(AND($C293='季度总览'!$D$3,$L293='季度总览'!$B$3,OR('季度总览'!$F$3="全部",$D293='季度总览'!$F$3,$D293="全国",$D293="全球")),1,0))</x:f>
        <x:v>0</x:v>
      </x:c>
      <x:c r="P293" s="17" t="str">
        <x:f>IF($A293="","",$K293&amp;"【"&amp;$N293&amp;"】"&amp;CHAR(10)&amp;$D293&amp;"："&amp;$G293)</x:f>
      </x:c>
    </x:row>
    <x:row r="294">
      <x:c r="K294" s="17" t="str">
        <x:f>IF($B294="","",IF(COUNTIF('共享事件'!$A$2:$A$301,$B294)&lt;&gt;1,"事件ID缺失或重复",INDEX('共享事件'!$A$2:$M$301,MATCH($B294,'共享事件'!$A$2:$A$301,0),2)))</x:f>
      </x:c>
      <x:c r="L294" s="18" t="str">
        <x:f>IF($B294="","",IF(COUNTIF('共享事件'!$A$2:$A$301,$B294)&lt;&gt;1,"事件ID缺失或重复",INDEX('共享事件'!$A$2:$M$301,MATCH($B294,'共享事件'!$A$2:$A$301,0),3)))</x:f>
      </x:c>
      <x:c r="M294" s="18" t="str">
        <x:f>IF($B294="","",IF(COUNTIF('共享事件'!$A$2:$A$301,$B294)&lt;&gt;1,"事件ID缺失或重复",INDEX('共享事件'!$A$2:$M$301,MATCH($B294,'共享事件'!$A$2:$A$301,0),4)))</x:f>
      </x:c>
      <x:c r="N294" s="17" t="str">
        <x:f>IF($B294="","",IF(COUNTIF('共享事件'!$A$2:$A$301,$B294)&lt;&gt;1,"事件ID缺失或重复",INDEX('共享事件'!$A$2:$M$301,MATCH($B294,'共享事件'!$A$2:$A$301,0),7)))</x:f>
      </x:c>
      <x:c r="O294" s="17" t="n">
        <x:f>IF($A294="",0,IF(AND($C294='季度总览'!$D$3,$L294='季度总览'!$B$3,OR('季度总览'!$F$3="全部",$D294='季度总览'!$F$3,$D294="全国",$D294="全球")),1,0))</x:f>
        <x:v>0</x:v>
      </x:c>
      <x:c r="P294" s="17" t="str">
        <x:f>IF($A294="","",$K294&amp;"【"&amp;$N294&amp;"】"&amp;CHAR(10)&amp;$D294&amp;"："&amp;$G294)</x:f>
      </x:c>
    </x:row>
    <x:row r="295">
      <x:c r="K295" s="17" t="str">
        <x:f>IF($B295="","",IF(COUNTIF('共享事件'!$A$2:$A$301,$B295)&lt;&gt;1,"事件ID缺失或重复",INDEX('共享事件'!$A$2:$M$301,MATCH($B295,'共享事件'!$A$2:$A$301,0),2)))</x:f>
      </x:c>
      <x:c r="L295" s="18" t="str">
        <x:f>IF($B295="","",IF(COUNTIF('共享事件'!$A$2:$A$301,$B295)&lt;&gt;1,"事件ID缺失或重复",INDEX('共享事件'!$A$2:$M$301,MATCH($B295,'共享事件'!$A$2:$A$301,0),3)))</x:f>
      </x:c>
      <x:c r="M295" s="18" t="str">
        <x:f>IF($B295="","",IF(COUNTIF('共享事件'!$A$2:$A$301,$B295)&lt;&gt;1,"事件ID缺失或重复",INDEX('共享事件'!$A$2:$M$301,MATCH($B295,'共享事件'!$A$2:$A$301,0),4)))</x:f>
      </x:c>
      <x:c r="N295" s="17" t="str">
        <x:f>IF($B295="","",IF(COUNTIF('共享事件'!$A$2:$A$301,$B295)&lt;&gt;1,"事件ID缺失或重复",INDEX('共享事件'!$A$2:$M$301,MATCH($B295,'共享事件'!$A$2:$A$301,0),7)))</x:f>
      </x:c>
      <x:c r="O295" s="17" t="n">
        <x:f>IF($A295="",0,IF(AND($C295='季度总览'!$D$3,$L295='季度总览'!$B$3,OR('季度总览'!$F$3="全部",$D295='季度总览'!$F$3,$D295="全国",$D295="全球")),1,0))</x:f>
        <x:v>0</x:v>
      </x:c>
      <x:c r="P295" s="17" t="str">
        <x:f>IF($A295="","",$K295&amp;"【"&amp;$N295&amp;"】"&amp;CHAR(10)&amp;$D295&amp;"："&amp;$G295)</x:f>
      </x:c>
    </x:row>
    <x:row r="296">
      <x:c r="K296" s="17" t="str">
        <x:f>IF($B296="","",IF(COUNTIF('共享事件'!$A$2:$A$301,$B296)&lt;&gt;1,"事件ID缺失或重复",INDEX('共享事件'!$A$2:$M$301,MATCH($B296,'共享事件'!$A$2:$A$301,0),2)))</x:f>
      </x:c>
      <x:c r="L296" s="18" t="str">
        <x:f>IF($B296="","",IF(COUNTIF('共享事件'!$A$2:$A$301,$B296)&lt;&gt;1,"事件ID缺失或重复",INDEX('共享事件'!$A$2:$M$301,MATCH($B296,'共享事件'!$A$2:$A$301,0),3)))</x:f>
      </x:c>
      <x:c r="M296" s="18" t="str">
        <x:f>IF($B296="","",IF(COUNTIF('共享事件'!$A$2:$A$301,$B296)&lt;&gt;1,"事件ID缺失或重复",INDEX('共享事件'!$A$2:$M$301,MATCH($B296,'共享事件'!$A$2:$A$301,0),4)))</x:f>
      </x:c>
      <x:c r="N296" s="17" t="str">
        <x:f>IF($B296="","",IF(COUNTIF('共享事件'!$A$2:$A$301,$B296)&lt;&gt;1,"事件ID缺失或重复",INDEX('共享事件'!$A$2:$M$301,MATCH($B296,'共享事件'!$A$2:$A$301,0),7)))</x:f>
      </x:c>
      <x:c r="O296" s="17" t="n">
        <x:f>IF($A296="",0,IF(AND($C296='季度总览'!$D$3,$L296='季度总览'!$B$3,OR('季度总览'!$F$3="全部",$D296='季度总览'!$F$3,$D296="全国",$D296="全球")),1,0))</x:f>
        <x:v>0</x:v>
      </x:c>
      <x:c r="P296" s="17" t="str">
        <x:f>IF($A296="","",$K296&amp;"【"&amp;$N296&amp;"】"&amp;CHAR(10)&amp;$D296&amp;"："&amp;$G296)</x:f>
      </x:c>
    </x:row>
    <x:row r="297">
      <x:c r="K297" s="17" t="str">
        <x:f>IF($B297="","",IF(COUNTIF('共享事件'!$A$2:$A$301,$B297)&lt;&gt;1,"事件ID缺失或重复",INDEX('共享事件'!$A$2:$M$301,MATCH($B297,'共享事件'!$A$2:$A$301,0),2)))</x:f>
      </x:c>
      <x:c r="L297" s="18" t="str">
        <x:f>IF($B297="","",IF(COUNTIF('共享事件'!$A$2:$A$301,$B297)&lt;&gt;1,"事件ID缺失或重复",INDEX('共享事件'!$A$2:$M$301,MATCH($B297,'共享事件'!$A$2:$A$301,0),3)))</x:f>
      </x:c>
      <x:c r="M297" s="18" t="str">
        <x:f>IF($B297="","",IF(COUNTIF('共享事件'!$A$2:$A$301,$B297)&lt;&gt;1,"事件ID缺失或重复",INDEX('共享事件'!$A$2:$M$301,MATCH($B297,'共享事件'!$A$2:$A$301,0),4)))</x:f>
      </x:c>
      <x:c r="N297" s="17" t="str">
        <x:f>IF($B297="","",IF(COUNTIF('共享事件'!$A$2:$A$301,$B297)&lt;&gt;1,"事件ID缺失或重复",INDEX('共享事件'!$A$2:$M$301,MATCH($B297,'共享事件'!$A$2:$A$301,0),7)))</x:f>
      </x:c>
      <x:c r="O297" s="17" t="n">
        <x:f>IF($A297="",0,IF(AND($C297='季度总览'!$D$3,$L297='季度总览'!$B$3,OR('季度总览'!$F$3="全部",$D297='季度总览'!$F$3,$D297="全国",$D297="全球")),1,0))</x:f>
        <x:v>0</x:v>
      </x:c>
      <x:c r="P297" s="17" t="str">
        <x:f>IF($A297="","",$K297&amp;"【"&amp;$N297&amp;"】"&amp;CHAR(10)&amp;$D297&amp;"："&amp;$G297)</x:f>
      </x:c>
    </x:row>
    <x:row r="298">
      <x:c r="K298" s="17" t="str">
        <x:f>IF($B298="","",IF(COUNTIF('共享事件'!$A$2:$A$301,$B298)&lt;&gt;1,"事件ID缺失或重复",INDEX('共享事件'!$A$2:$M$301,MATCH($B298,'共享事件'!$A$2:$A$301,0),2)))</x:f>
      </x:c>
      <x:c r="L298" s="18" t="str">
        <x:f>IF($B298="","",IF(COUNTIF('共享事件'!$A$2:$A$301,$B298)&lt;&gt;1,"事件ID缺失或重复",INDEX('共享事件'!$A$2:$M$301,MATCH($B298,'共享事件'!$A$2:$A$301,0),3)))</x:f>
      </x:c>
      <x:c r="M298" s="18" t="str">
        <x:f>IF($B298="","",IF(COUNTIF('共享事件'!$A$2:$A$301,$B298)&lt;&gt;1,"事件ID缺失或重复",INDEX('共享事件'!$A$2:$M$301,MATCH($B298,'共享事件'!$A$2:$A$301,0),4)))</x:f>
      </x:c>
      <x:c r="N298" s="17" t="str">
        <x:f>IF($B298="","",IF(COUNTIF('共享事件'!$A$2:$A$301,$B298)&lt;&gt;1,"事件ID缺失或重复",INDEX('共享事件'!$A$2:$M$301,MATCH($B298,'共享事件'!$A$2:$A$301,0),7)))</x:f>
      </x:c>
      <x:c r="O298" s="17" t="n">
        <x:f>IF($A298="",0,IF(AND($C298='季度总览'!$D$3,$L298='季度总览'!$B$3,OR('季度总览'!$F$3="全部",$D298='季度总览'!$F$3,$D298="全国",$D298="全球")),1,0))</x:f>
        <x:v>0</x:v>
      </x:c>
      <x:c r="P298" s="17" t="str">
        <x:f>IF($A298="","",$K298&amp;"【"&amp;$N298&amp;"】"&amp;CHAR(10)&amp;$D298&amp;"："&amp;$G298)</x:f>
      </x:c>
    </x:row>
    <x:row r="299">
      <x:c r="K299" s="17" t="str">
        <x:f>IF($B299="","",IF(COUNTIF('共享事件'!$A$2:$A$301,$B299)&lt;&gt;1,"事件ID缺失或重复",INDEX('共享事件'!$A$2:$M$301,MATCH($B299,'共享事件'!$A$2:$A$301,0),2)))</x:f>
      </x:c>
      <x:c r="L299" s="18" t="str">
        <x:f>IF($B299="","",IF(COUNTIF('共享事件'!$A$2:$A$301,$B299)&lt;&gt;1,"事件ID缺失或重复",INDEX('共享事件'!$A$2:$M$301,MATCH($B299,'共享事件'!$A$2:$A$301,0),3)))</x:f>
      </x:c>
      <x:c r="M299" s="18" t="str">
        <x:f>IF($B299="","",IF(COUNTIF('共享事件'!$A$2:$A$301,$B299)&lt;&gt;1,"事件ID缺失或重复",INDEX('共享事件'!$A$2:$M$301,MATCH($B299,'共享事件'!$A$2:$A$301,0),4)))</x:f>
      </x:c>
      <x:c r="N299" s="17" t="str">
        <x:f>IF($B299="","",IF(COUNTIF('共享事件'!$A$2:$A$301,$B299)&lt;&gt;1,"事件ID缺失或重复",INDEX('共享事件'!$A$2:$M$301,MATCH($B299,'共享事件'!$A$2:$A$301,0),7)))</x:f>
      </x:c>
      <x:c r="O299" s="17" t="n">
        <x:f>IF($A299="",0,IF(AND($C299='季度总览'!$D$3,$L299='季度总览'!$B$3,OR('季度总览'!$F$3="全部",$D299='季度总览'!$F$3,$D299="全国",$D299="全球")),1,0))</x:f>
        <x:v>0</x:v>
      </x:c>
      <x:c r="P299" s="17" t="str">
        <x:f>IF($A299="","",$K299&amp;"【"&amp;$N299&amp;"】"&amp;CHAR(10)&amp;$D299&amp;"："&amp;$G299)</x:f>
      </x:c>
    </x:row>
    <x:row r="300">
      <x:c r="K300" s="17" t="str">
        <x:f>IF($B300="","",IF(COUNTIF('共享事件'!$A$2:$A$301,$B300)&lt;&gt;1,"事件ID缺失或重复",INDEX('共享事件'!$A$2:$M$301,MATCH($B300,'共享事件'!$A$2:$A$301,0),2)))</x:f>
      </x:c>
      <x:c r="L300" s="18" t="str">
        <x:f>IF($B300="","",IF(COUNTIF('共享事件'!$A$2:$A$301,$B300)&lt;&gt;1,"事件ID缺失或重复",INDEX('共享事件'!$A$2:$M$301,MATCH($B300,'共享事件'!$A$2:$A$301,0),3)))</x:f>
      </x:c>
      <x:c r="M300" s="18" t="str">
        <x:f>IF($B300="","",IF(COUNTIF('共享事件'!$A$2:$A$301,$B300)&lt;&gt;1,"事件ID缺失或重复",INDEX('共享事件'!$A$2:$M$301,MATCH($B300,'共享事件'!$A$2:$A$301,0),4)))</x:f>
      </x:c>
      <x:c r="N300" s="17" t="str">
        <x:f>IF($B300="","",IF(COUNTIF('共享事件'!$A$2:$A$301,$B300)&lt;&gt;1,"事件ID缺失或重复",INDEX('共享事件'!$A$2:$M$301,MATCH($B300,'共享事件'!$A$2:$A$301,0),7)))</x:f>
      </x:c>
      <x:c r="O300" s="17" t="n">
        <x:f>IF($A300="",0,IF(AND($C300='季度总览'!$D$3,$L300='季度总览'!$B$3,OR('季度总览'!$F$3="全部",$D300='季度总览'!$F$3,$D300="全国",$D300="全球")),1,0))</x:f>
        <x:v>0</x:v>
      </x:c>
      <x:c r="P300" s="17" t="str">
        <x:f>IF($A300="","",$K300&amp;"【"&amp;$N300&amp;"】"&amp;CHAR(10)&amp;$D300&amp;"："&amp;$G300)</x:f>
      </x:c>
    </x:row>
    <x:row r="301">
      <x:c r="K301" s="17" t="str">
        <x:f>IF($B301="","",IF(COUNTIF('共享事件'!$A$2:$A$301,$B301)&lt;&gt;1,"事件ID缺失或重复",INDEX('共享事件'!$A$2:$M$301,MATCH($B301,'共享事件'!$A$2:$A$301,0),2)))</x:f>
      </x:c>
      <x:c r="L301" s="18" t="str">
        <x:f>IF($B301="","",IF(COUNTIF('共享事件'!$A$2:$A$301,$B301)&lt;&gt;1,"事件ID缺失或重复",INDEX('共享事件'!$A$2:$M$301,MATCH($B301,'共享事件'!$A$2:$A$301,0),3)))</x:f>
      </x:c>
      <x:c r="M301" s="18" t="str">
        <x:f>IF($B301="","",IF(COUNTIF('共享事件'!$A$2:$A$301,$B301)&lt;&gt;1,"事件ID缺失或重复",INDEX('共享事件'!$A$2:$M$301,MATCH($B301,'共享事件'!$A$2:$A$301,0),4)))</x:f>
      </x:c>
      <x:c r="N301" s="17" t="str">
        <x:f>IF($B301="","",IF(COUNTIF('共享事件'!$A$2:$A$301,$B301)&lt;&gt;1,"事件ID缺失或重复",INDEX('共享事件'!$A$2:$M$301,MATCH($B301,'共享事件'!$A$2:$A$301,0),7)))</x:f>
      </x:c>
      <x:c r="O301" s="17" t="n">
        <x:f>IF($A301="",0,IF(AND($C301='季度总览'!$D$3,$L301='季度总览'!$B$3,OR('季度总览'!$F$3="全部",$D301='季度总览'!$F$3,$D301="全国",$D301="全球")),1,0))</x:f>
        <x:v>0</x:v>
      </x:c>
      <x:c r="P301" s="17" t="str">
        <x:f>IF($A301="","",$K301&amp;"【"&amp;$N301&amp;"】"&amp;CHAR(10)&amp;$D301&amp;"："&amp;$G301)</x:f>
      </x:c>
    </x:row>
  </x:sheetData>
  <x:conditionalFormatting sqref="B2:B301">
    <x:cfRule type="expression" dxfId="2" priority="1">
      <x:formula>AND(B2&lt;&gt;"",COUNTIF('共享事件'!$A$2:$A$301,B2)&lt;&gt;1)</x:formula>
    </x:cfRule>
  </x:conditionalFormatting>
  <x:dataValidations count="3">
    <x:dataValidation type="list" sqref="C2:C301">
      <x:formula1>"电力,动力煤,甲醇,原油"</x:formula1>
    </x:dataValidation>
    <x:dataValidation type="list" sqref="E2:E301">
      <x:formula1>"宏观与气候,供给,需求,输电与调节,制度与价格"</x:formula1>
    </x:dataValidation>
    <x:dataValidation type="list" sqref="B2:B301">
      <x:formula1>'共享事件'!$A$2:$A$301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f0154e3604495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16" hidden="0" customWidth="1"/>
    <x:col min="3" max="3" width="22" hidden="0" customWidth="1"/>
    <x:col min="4" max="4" width="12" hidden="0" customWidth="1"/>
    <x:col min="5" max="5" width="39" hidden="0" customWidth="1"/>
    <x:col min="6" max="6" width="45" hidden="0" customWidth="1"/>
    <x:col min="7" max="7" width="32" hidden="0" customWidth="1"/>
    <x:col min="8" max="8" width="48" hidden="0" customWidth="1"/>
    <x:col min="9" max="9" width="45" hidden="0" customWidth="1"/>
  </x:cols>
  <x:sheetData>
    <x:row r="1">
      <x:c r="A1" s="5" t="str">
        <x:v>因素ID</x:v>
      </x:c>
      <x:c r="B1" s="5" t="str">
        <x:v>模块</x:v>
      </x:c>
      <x:c r="C1" s="5" t="str">
        <x:v>研究因素</x:v>
      </x:c>
      <x:c r="D1" s="5" t="str">
        <x:v>重点地区</x:v>
      </x:c>
      <x:c r="E1" s="5" t="str">
        <x:v>观察指标</x:v>
      </x:c>
      <x:c r="F1" s="5" t="str">
        <x:v>传导机制</x:v>
      </x:c>
      <x:c r="G1" s="5" t="str">
        <x:v>季节与时间窗口</x:v>
      </x:c>
      <x:c r="H1" s="5" t="str">
        <x:v>适用边界</x:v>
      </x:c>
      <x:c r="I1" s="5" t="str">
        <x:v>常用来源</x:v>
      </x:c>
    </x:row>
    <x:row r="2">
      <x:c r="A2" s="25" t="str">
        <x:v>F01</x:v>
      </x:c>
      <x:c r="B2" s="25" t="str">
        <x:v>供给</x:v>
      </x:c>
      <x:c r="C2" s="25" t="str">
        <x:v>煤电燃料成本</x:v>
      </x:c>
      <x:c r="D2" s="25" t="str">
        <x:v>全国</x:v>
      </x:c>
      <x:c r="E2" s="25" t="str">
        <x:v>到厂煤价、热值、供电煤耗、长协兑现率</x:v>
      </x:c>
      <x:c r="F2" s="25" t="str">
        <x:v>煤价通过单位供电燃料成本影响报价与利润</x:v>
      </x:c>
      <x:c r="G2" s="25" t="str">
        <x:v>全年，迎峰季与合同重定价期</x:v>
      </x:c>
      <x:c r="H2" s="25" t="str">
        <x:v>分现货与长协，含税、热值和运输口径一致</x:v>
      </x:c>
      <x:c r="I2" s="25" t="str">
        <x:v>煤炭价格机构、发电企业公开报告</x:v>
      </x:c>
    </x:row>
    <x:row r="3">
      <x:c r="A3" s="25" t="str">
        <x:v>F02</x:v>
      </x:c>
      <x:c r="B3" s="25" t="str">
        <x:v>供给</x:v>
      </x:c>
      <x:c r="C3" s="25" t="str">
        <x:v>煤电可用容量</x:v>
      </x:c>
      <x:c r="D3" s="25" t="str">
        <x:v>全国</x:v>
      </x:c>
      <x:c r="E3" s="25" t="str">
        <x:v>投退役、计划检修、非停、可调出力</x:v>
      </x:c>
      <x:c r="F3" s="25" t="str">
        <x:v>可用容量变化影响备用和稀缺时段供给</x:v>
      </x:c>
      <x:c r="G3" s="25" t="str">
        <x:v>春秋检修与夏冬迎峰</x:v>
      </x:c>
      <x:c r="H3" s="25" t="str">
        <x:v>装机容量、可用容量、发电量分别记录</x:v>
      </x:c>
      <x:c r="I3" s="25" t="str">
        <x:v>调度及电厂公开信息</x:v>
      </x:c>
    </x:row>
    <x:row r="4">
      <x:c r="A4" s="25" t="str">
        <x:v>F03</x:v>
      </x:c>
      <x:c r="B4" s="25" t="str">
        <x:v>供给</x:v>
      </x:c>
      <x:c r="C4" s="25" t="str">
        <x:v>供热机组约束</x:v>
      </x:c>
      <x:c r="D4" s="25" t="str">
        <x:v>辽宁</x:v>
      </x:c>
      <x:c r="E4" s="25" t="str">
        <x:v>供热负荷、最小技术出力、灵活性改造</x:v>
      </x:c>
      <x:c r="F4" s="25" t="str">
        <x:v>供热约束提高最小出力，压缩低谷调节空间</x:v>
      </x:c>
      <x:c r="G4" s="25" t="str">
        <x:v>供暖期，按当地供热实际日期</x:v>
      </x:c>
      <x:c r="H4" s="25" t="str">
        <x:v>供热需求增加与净电负荷变化分别建模</x:v>
      </x:c>
      <x:c r="I4" s="25" t="str">
        <x:v>供热计划、调度公开信息</x:v>
      </x:c>
    </x:row>
    <x:row r="5">
      <x:c r="A5" s="25" t="str">
        <x:v>F04</x:v>
      </x:c>
      <x:c r="B5" s="25" t="str">
        <x:v>供给</x:v>
      </x:c>
      <x:c r="C5" s="25" t="str">
        <x:v>燃气发电</x:v>
      </x:c>
      <x:c r="D5" s="25" t="str">
        <x:v>全国</x:v>
      </x:c>
      <x:c r="E5" s="25" t="str">
        <x:v>气价、气源可得性、热耗率、可用出力</x:v>
      </x:c>
      <x:c r="F5" s="25" t="str">
        <x:v>气源与边际成本影响气电顶峰能力</x:v>
      </x:c>
      <x:c r="G5" s="25" t="str">
        <x:v>全年，冬季气源竞争加剧时</x:v>
      </x:c>
      <x:c r="H5" s="25" t="str">
        <x:v>区分管道气与LNG，保供约束单列</x:v>
      </x:c>
      <x:c r="I5" s="25" t="str">
        <x:v>能源企业、天然气价格公开信息</x:v>
      </x:c>
    </x:row>
    <x:row r="6">
      <x:c r="A6" s="25" t="str">
        <x:v>F05</x:v>
      </x:c>
      <x:c r="B6" s="25" t="str">
        <x:v>供给</x:v>
      </x:c>
      <x:c r="C6" s="25" t="str">
        <x:v>风电资源</x:v>
      </x:c>
      <x:c r="D6" s="25" t="str">
        <x:v>全国</x:v>
      </x:c>
      <x:c r="E6" s="25" t="str">
        <x:v>100米风速、风向、空气密度、装机分布</x:v>
      </x:c>
      <x:c r="F6" s="25" t="str">
        <x:v>天气改变可发功率，与机组功率曲线共同决定出力</x:v>
      </x:c>
      <x:c r="G6" s="25" t="str">
        <x:v>逐月对比，分区域验证季节性</x:v>
      </x:c>
      <x:c r="H6" s="25" t="str">
        <x:v>平均风速同比不可直接折算发电量同比</x:v>
      </x:c>
      <x:c r="I6" s="25" t="str">
        <x:v>PowerCurve气象数据 https://powercurve.cn/#weather</x:v>
      </x:c>
    </x:row>
    <x:row r="7">
      <x:c r="A7" s="25" t="str">
        <x:v>F06</x:v>
      </x:c>
      <x:c r="B7" s="25" t="str">
        <x:v>供给</x:v>
      </x:c>
      <x:c r="C7" s="25" t="str">
        <x:v>风电投产与限电</x:v>
      </x:c>
      <x:c r="D7" s="25" t="str">
        <x:v>甘肃</x:v>
      </x:c>
      <x:c r="E7" s="25" t="str">
        <x:v>并网装机、利用率、可用率、限电量</x:v>
      </x:c>
      <x:c r="F7" s="25" t="str">
        <x:v>装机扩张增供给，送出与调节约束限制兑现</x:v>
      </x:c>
      <x:c r="G7" s="25" t="str">
        <x:v>全年，投产节点与大风低负荷时段</x:v>
      </x:c>
      <x:c r="H7" s="25" t="str">
        <x:v>区分资源偏弱、设备故障与限电</x:v>
      </x:c>
      <x:c r="I7" s="25" t="str">
        <x:v>能源局、电网与项目公告</x:v>
      </x:c>
    </x:row>
    <x:row r="8">
      <x:c r="A8" s="25" t="str">
        <x:v>F07</x:v>
      </x:c>
      <x:c r="B8" s="25" t="str">
        <x:v>供给</x:v>
      </x:c>
      <x:c r="C8" s="25" t="str">
        <x:v>光伏资源</x:v>
      </x:c>
      <x:c r="D8" s="25" t="str">
        <x:v>全国</x:v>
      </x:c>
      <x:c r="E8" s="25" t="str">
        <x:v>辐射、云量、组件温度、积雪与积灰</x:v>
      </x:c>
      <x:c r="F8" s="25" t="str">
        <x:v>决定日间可发功率和出力形状</x:v>
      </x:c>
      <x:c r="G8" s="25" t="str">
        <x:v>逐月及日内，阴雨和积雪期重点</x:v>
      </x:c>
      <x:c r="H8" s="25" t="str">
        <x:v>辐射功率W/m²与辐射能量kWh/m²不可混用</x:v>
      </x:c>
      <x:c r="I8" s="25" t="str">
        <x:v>PowerCurve气象数据 https://powercurve.cn/#weather</x:v>
      </x:c>
    </x:row>
    <x:row r="9">
      <x:c r="A9" s="25" t="str">
        <x:v>F08</x:v>
      </x:c>
      <x:c r="B9" s="25" t="str">
        <x:v>供给</x:v>
      </x:c>
      <x:c r="C9" s="25" t="str">
        <x:v>分布式光伏</x:v>
      </x:c>
      <x:c r="D9" s="25" t="str">
        <x:v>全国</x:v>
      </x:c>
      <x:c r="E9" s="25" t="str">
        <x:v>分布式装机、自发自用、反送电量</x:v>
      </x:c>
      <x:c r="F9" s="25" t="str">
        <x:v>改变电网可见负荷与午间剩余需求</x:v>
      </x:c>
      <x:c r="G9" s="25" t="str">
        <x:v>晴天午间与节假日</x:v>
      </x:c>
      <x:c r="H9" s="25" t="str">
        <x:v>全社会用电与统调负荷统计边界不同</x:v>
      </x:c>
      <x:c r="I9" s="25" t="str">
        <x:v>能源局、电网公开统计</x:v>
      </x:c>
    </x:row>
    <x:row r="10">
      <x:c r="A10" s="25" t="str">
        <x:v>F09</x:v>
      </x:c>
      <x:c r="B10" s="25" t="str">
        <x:v>供给</x:v>
      </x:c>
      <x:c r="C10" s="25" t="str">
        <x:v>核电新增机组</x:v>
      </x:c>
      <x:c r="D10" s="25" t="str">
        <x:v>辽宁</x:v>
      </x:c>
      <x:c r="E10" s="25" t="str">
        <x:v>装料、临界、并网、商运、爬坡曲线</x:v>
      </x:c>
      <x:c r="F10" s="25" t="str">
        <x:v>节点兑现后形成新增稳定电量供给</x:v>
      </x:c>
      <x:c r="G10" s="25" t="str">
        <x:v>按项目进度，季度未知则保留年度计划</x:v>
      </x:c>
      <x:c r="H10" s="25" t="str">
        <x:v>徐大堡3号与4号分别跟踪，不合并为同一投产日</x:v>
      </x:c>
      <x:c r="I10" s="25" t="str">
        <x:v>业主公告、核安全局、辽宁省发展改革委</x:v>
      </x:c>
    </x:row>
    <x:row r="11">
      <x:c r="A11" s="25" t="str">
        <x:v>F10</x:v>
      </x:c>
      <x:c r="B11" s="25" t="str">
        <x:v>供给</x:v>
      </x:c>
      <x:c r="C11" s="25" t="str">
        <x:v>核电检修与降负荷</x:v>
      </x:c>
      <x:c r="D11" s="25" t="str">
        <x:v>辽宁</x:v>
      </x:c>
      <x:c r="E11" s="25" t="str">
        <x:v>换料大修、非停、冷却水与实际出力</x:v>
      </x:c>
      <x:c r="F11" s="25" t="str">
        <x:v>检修和运行限制改变基荷供给</x:v>
      </x:c>
      <x:c r="G11" s="25" t="str">
        <x:v>按大修计划及极端天气</x:v>
      </x:c>
      <x:c r="H11" s="25" t="str">
        <x:v>计划检修与实际停机区间分别记录</x:v>
      </x:c>
      <x:c r="I11" s="25" t="str">
        <x:v>业主公告、运行事件公开记录</x:v>
      </x:c>
    </x:row>
    <x:row r="12">
      <x:c r="A12" s="25" t="str">
        <x:v>F11</x:v>
      </x:c>
      <x:c r="B12" s="25" t="str">
        <x:v>供给</x:v>
      </x:c>
      <x:c r="C12" s="25" t="str">
        <x:v>常规水电</x:v>
      </x:c>
      <x:c r="D12" s="25" t="str">
        <x:v>全国</x:v>
      </x:c>
      <x:c r="E12" s="25" t="str">
        <x:v>流域降水、入库流量、库水位、可发电量</x:v>
      </x:c>
      <x:c r="F12" s="25" t="str">
        <x:v>来水与水库蓄能决定可调节电量</x:v>
      </x:c>
      <x:c r="G12" s="25" t="str">
        <x:v>汛期与枯期，按流域划分</x:v>
      </x:c>
      <x:c r="H12" s="25" t="str">
        <x:v>行政区降水均值不能代替流域来水</x:v>
      </x:c>
      <x:c r="I12" s="25" t="str">
        <x:v>水利部门、流域公司、电网</x:v>
      </x:c>
    </x:row>
    <x:row r="13">
      <x:c r="A13" s="25" t="str">
        <x:v>F12</x:v>
      </x:c>
      <x:c r="B13" s="25" t="str">
        <x:v>供给</x:v>
      </x:c>
      <x:c r="C13" s="25" t="str">
        <x:v>光热及其他电源</x:v>
      </x:c>
      <x:c r="D13" s="25" t="str">
        <x:v>甘肃</x:v>
      </x:c>
      <x:c r="E13" s="25" t="str">
        <x:v>光热储热、可用出力、生物质燃料与检修</x:v>
      </x:c>
      <x:c r="F13" s="25" t="str">
        <x:v>补充可调电量并影响晚峰供给</x:v>
      </x:c>
      <x:c r="G13" s="25" t="str">
        <x:v>按项目运行与资源季节</x:v>
      </x:c>
      <x:c r="H13" s="25" t="str">
        <x:v>光热储热时长与额定功率分开</x:v>
      </x:c>
      <x:c r="I13" s="25" t="str">
        <x:v>项目业主、能源局</x:v>
      </x:c>
    </x:row>
    <x:row r="14">
      <x:c r="A14" s="25" t="str">
        <x:v>F13</x:v>
      </x:c>
      <x:c r="B14" s="25" t="str">
        <x:v>需求</x:v>
      </x:c>
      <x:c r="C14" s="25" t="str">
        <x:v>居民制冷</x:v>
      </x:c>
      <x:c r="D14" s="25" t="str">
        <x:v>全国</x:v>
      </x:c>
      <x:c r="E14" s="25" t="str">
        <x:v>人口加权气温、湿度、制冷度日、晚峰负荷</x:v>
      </x:c>
      <x:c r="F14" s="25" t="str">
        <x:v>高温与闷热抬升空调负荷并延长高负荷时段</x:v>
      </x:c>
      <x:c r="G14" s="25" t="str">
        <x:v>当地制冷季</x:v>
      </x:c>
      <x:c r="H14" s="25" t="str">
        <x:v>阈值、湿度影响和空调普及率按省校准</x:v>
      </x:c>
      <x:c r="I14" s="25" t="str">
        <x:v>气象部门、PowerCurve、电网公开负荷</x:v>
      </x:c>
    </x:row>
    <x:row r="15">
      <x:c r="A15" s="25" t="str">
        <x:v>F14</x:v>
      </x:c>
      <x:c r="B15" s="25" t="str">
        <x:v>需求</x:v>
      </x:c>
      <x:c r="C15" s="25" t="str">
        <x:v>居民采暖</x:v>
      </x:c>
      <x:c r="D15" s="25" t="str">
        <x:v>辽宁</x:v>
      </x:c>
      <x:c r="E15" s="25" t="str">
        <x:v>采暖度日、电采暖渗透率、最低气温</x:v>
      </x:c>
      <x:c r="F15" s="25" t="str">
        <x:v>寒潮抬升电采暖需求，集中供热影响煤电运行</x:v>
      </x:c>
      <x:c r="G15" s="25" t="str">
        <x:v>冬季与供暖季首尾</x:v>
      </x:c>
      <x:c r="H15" s="25" t="str">
        <x:v>电负荷与集中供热热负荷分别记录</x:v>
      </x:c>
      <x:c r="I15" s="25" t="str">
        <x:v>气象部门、供热部门、电网</x:v>
      </x:c>
    </x:row>
    <x:row r="16">
      <x:c r="A16" s="25" t="str">
        <x:v>F15</x:v>
      </x:c>
      <x:c r="B16" s="25" t="str">
        <x:v>需求</x:v>
      </x:c>
      <x:c r="C16" s="25" t="str">
        <x:v>高耗能工业</x:v>
      </x:c>
      <x:c r="D16" s="25" t="str">
        <x:v>甘肃</x:v>
      </x:c>
      <x:c r="E16" s="25" t="str">
        <x:v>电解铝、铁合金、硅产业产量与开工</x:v>
      </x:c>
      <x:c r="F16" s="25" t="str">
        <x:v>连续生产负荷影响基荷及需求弹性</x:v>
      </x:c>
      <x:c r="G16" s="25" t="str">
        <x:v>全年，检修与投产节点</x:v>
      </x:c>
      <x:c r="H16" s="25" t="str">
        <x:v>企业产能不等于当期用电，需开工与能耗强度</x:v>
      </x:c>
      <x:c r="I16" s="25" t="str">
        <x:v>统计局、行业协会、企业公告</x:v>
      </x:c>
    </x:row>
    <x:row r="17">
      <x:c r="A17" s="25" t="str">
        <x:v>F16</x:v>
      </x:c>
      <x:c r="B17" s="25" t="str">
        <x:v>需求</x:v>
      </x:c>
      <x:c r="C17" s="25" t="str">
        <x:v>一般工业</x:v>
      </x:c>
      <x:c r="D17" s="25" t="str">
        <x:v>辽宁</x:v>
      </x:c>
      <x:c r="E17" s="25" t="str">
        <x:v>钢铁、装备、化工开工与工业用电</x:v>
      </x:c>
      <x:c r="F17" s="25" t="str">
        <x:v>订单、利润和产能利用率改变工作日负荷</x:v>
      </x:c>
      <x:c r="G17" s="25" t="str">
        <x:v>春节、复工、订单周期</x:v>
      </x:c>
      <x:c r="H17" s="25" t="str">
        <x:v>工作日错位与产业结构变化需剔除</x:v>
      </x:c>
      <x:c r="I17" s="25" t="str">
        <x:v>统计局、行业协会、电力用电统计</x:v>
      </x:c>
    </x:row>
    <x:row r="18">
      <x:c r="A18" s="25" t="str">
        <x:v>F17</x:v>
      </x:c>
      <x:c r="B18" s="25" t="str">
        <x:v>需求</x:v>
      </x:c>
      <x:c r="C18" s="25" t="str">
        <x:v>商业服务</x:v>
      </x:c>
      <x:c r="D18" s="25" t="str">
        <x:v>全国</x:v>
      </x:c>
      <x:c r="E18" s="25" t="str">
        <x:v>服务业用电、客流、营业时段、温度</x:v>
      </x:c>
      <x:c r="F18" s="25" t="str">
        <x:v>营业活动与空调需求共同影响日内负荷</x:v>
      </x:c>
      <x:c r="G18" s="25" t="str">
        <x:v>节假日与旅游旺季</x:v>
      </x:c>
      <x:c r="H18" s="25" t="str">
        <x:v>分别考虑城市、商圈和工作日</x:v>
      </x:c>
      <x:c r="I18" s="25" t="str">
        <x:v>统计局、电网、公开行业数据</x:v>
      </x:c>
    </x:row>
    <x:row r="19">
      <x:c r="A19" s="25" t="str">
        <x:v>F18</x:v>
      </x:c>
      <x:c r="B19" s="25" t="str">
        <x:v>需求</x:v>
      </x:c>
      <x:c r="C19" s="25" t="str">
        <x:v>农业灌溉</x:v>
      </x:c>
      <x:c r="D19" s="25" t="str">
        <x:v>甘肃</x:v>
      </x:c>
      <x:c r="E19" s="25" t="str">
        <x:v>灌溉面积、降水、抽水时段与农业用电</x:v>
      </x:c>
      <x:c r="F19" s="25" t="str">
        <x:v>农时与旱情影响抽水用电</x:v>
      </x:c>
      <x:c r="G19" s="25" t="str">
        <x:v>播种、灌溉及干旱期</x:v>
      </x:c>
      <x:c r="H19" s="25" t="str">
        <x:v>降水影响受作物、渠系和水源条件调节</x:v>
      </x:c>
      <x:c r="I19" s="25" t="str">
        <x:v>农业、水利、气象部门</x:v>
      </x:c>
    </x:row>
    <x:row r="20">
      <x:c r="A20" s="25" t="str">
        <x:v>F19</x:v>
      </x:c>
      <x:c r="B20" s="25" t="str">
        <x:v>需求</x:v>
      </x:c>
      <x:c r="C20" s="25" t="str">
        <x:v>充换电</x:v>
      </x:c>
      <x:c r="D20" s="25" t="str">
        <x:v>全国</x:v>
      </x:c>
      <x:c r="E20" s="25" t="str">
        <x:v>新能源汽车保有量、充电电量、充电时段</x:v>
      </x:c>
      <x:c r="F20" s="25" t="str">
        <x:v>电动化增用电，分时价格改变充电分布</x:v>
      </x:c>
      <x:c r="G20" s="25" t="str">
        <x:v>长期增长与节假日出行</x:v>
      </x:c>
      <x:c r="H20" s="25" t="str">
        <x:v>车保有量不能直接替代省内充电负荷</x:v>
      </x:c>
      <x:c r="I20" s="25" t="str">
        <x:v>能源局、充电联盟、电网</x:v>
      </x:c>
    </x:row>
    <x:row r="21">
      <x:c r="A21" s="25" t="str">
        <x:v>F20</x:v>
      </x:c>
      <x:c r="B21" s="25" t="str">
        <x:v>需求</x:v>
      </x:c>
      <x:c r="C21" s="25" t="str">
        <x:v>数据中心与新负荷</x:v>
      </x:c>
      <x:c r="D21" s="25" t="str">
        <x:v>甘肃</x:v>
      </x:c>
      <x:c r="E21" s="25" t="str">
        <x:v>实际上架率、IT功率、PUE、投产进度</x:v>
      </x:c>
      <x:c r="F21" s="25" t="str">
        <x:v>新增连续负荷，冷却需求受天气影响</x:v>
      </x:c>
      <x:c r="G21" s="25" t="str">
        <x:v>按建设及上架进度</x:v>
      </x:c>
      <x:c r="H21" s="25" t="str">
        <x:v>规划算力、报装容量与真实用电分别记录</x:v>
      </x:c>
      <x:c r="I21" s="25" t="str">
        <x:v>企业公告、政府项目与电力统计</x:v>
      </x:c>
    </x:row>
    <x:row r="22">
      <x:c r="A22" s="25" t="str">
        <x:v>F21</x:v>
      </x:c>
      <x:c r="B22" s="25" t="str">
        <x:v>需求</x:v>
      </x:c>
      <x:c r="C22" s="25" t="str">
        <x:v>日历效应</x:v>
      </x:c>
      <x:c r="D22" s="25" t="str">
        <x:v>全国</x:v>
      </x:c>
      <x:c r="E22" s="25" t="str">
        <x:v>工作日、春节错位、调休、重大活动</x:v>
      </x:c>
      <x:c r="F22" s="25" t="str">
        <x:v>改变生产营业时间与负荷形状</x:v>
      </x:c>
      <x:c r="G22" s="25" t="str">
        <x:v>逐日，春节等节假日重点</x:v>
      </x:c>
      <x:c r="H22" s="25" t="str">
        <x:v>同比须匹配日历；自然季度不同于气象季节</x:v>
      </x:c>
      <x:c r="I22" s="25" t="str">
        <x:v>国务院节假日安排、电网负荷</x:v>
      </x:c>
    </x:row>
    <x:row r="23">
      <x:c r="A23" s="25" t="str">
        <x:v>F22</x:v>
      </x:c>
      <x:c r="B23" s="25" t="str">
        <x:v>输电与调节</x:v>
      </x:c>
      <x:c r="C23" s="25" t="str">
        <x:v>省间送受电</x:v>
      </x:c>
      <x:c r="D23" s="25" t="str">
        <x:v>全国</x:v>
      </x:c>
      <x:c r="E23" s="25" t="str">
        <x:v>联络线净交换、送受电合同、直流功率</x:v>
      </x:c>
      <x:c r="F23" s="25" t="str">
        <x:v>送端增加外部需求，受端补充电量供给</x:v>
      </x:c>
      <x:c r="G23" s="25" t="str">
        <x:v>逐月与日内，通道检修和投产节点</x:v>
      </x:c>
      <x:c r="H23" s="25" t="str">
        <x:v>额定输电能力、计划曲线、实际交换分别记录</x:v>
      </x:c>
      <x:c r="I23" s="25" t="str">
        <x:v>电网、交易中心公开信息</x:v>
      </x:c>
    </x:row>
    <x:row r="24">
      <x:c r="A24" s="25" t="str">
        <x:v>F23</x:v>
      </x:c>
      <x:c r="B24" s="25" t="str">
        <x:v>输电与调节</x:v>
      </x:c>
      <x:c r="C24" s="25" t="str">
        <x:v>网内断面约束</x:v>
      </x:c>
      <x:c r="D24" s="25" t="str">
        <x:v>全国</x:v>
      </x:c>
      <x:c r="E24" s="25" t="str">
        <x:v>线路检修、阻塞断面、可输送功率</x:v>
      </x:c>
      <x:c r="F24" s="25" t="str">
        <x:v>局部可达供给不足可推高区域或节点价格</x:v>
      </x:c>
      <x:c r="G24" s="25" t="str">
        <x:v>检修、极端天气和高负荷期</x:v>
      </x:c>
      <x:c r="H24" s="25" t="str">
        <x:v>省内总量平衡不代表每个节点可平衡</x:v>
      </x:c>
      <x:c r="I24" s="25" t="str">
        <x:v>调度公开信息、市场运行报告</x:v>
      </x:c>
    </x:row>
    <x:row r="25">
      <x:c r="A25" s="25" t="str">
        <x:v>F24</x:v>
      </x:c>
      <x:c r="B25" s="25" t="str">
        <x:v>输电与调节</x:v>
      </x:c>
      <x:c r="C25" s="25" t="str">
        <x:v>电化学储能</x:v>
      </x:c>
      <x:c r="D25" s="25" t="str">
        <x:v>全国</x:v>
      </x:c>
      <x:c r="E25" s="25" t="str">
        <x:v>功率MW、容量MWh、SOC、效率、充放电曲线</x:v>
      </x:c>
      <x:c r="F25" s="25" t="str">
        <x:v>跨时段搬移电量，影响谷段需求与峰段供给</x:v>
      </x:c>
      <x:c r="G25" s="25" t="str">
        <x:v>逐日与新能源高出力时段</x:v>
      </x:c>
      <x:c r="H25" s="25" t="str">
        <x:v>净耗能且受SOC限制，不能视为额外一次能源</x:v>
      </x:c>
      <x:c r="I25" s="25" t="str">
        <x:v>项目公告、市场运行报告</x:v>
      </x:c>
    </x:row>
    <x:row r="26">
      <x:c r="A26" s="25" t="str">
        <x:v>F25</x:v>
      </x:c>
      <x:c r="B26" s="25" t="str">
        <x:v>输电与调节</x:v>
      </x:c>
      <x:c r="C26" s="25" t="str">
        <x:v>抽水蓄能</x:v>
      </x:c>
      <x:c r="D26" s="25" t="str">
        <x:v>全国</x:v>
      </x:c>
      <x:c r="E26" s="25" t="str">
        <x:v>上下库水位、抽蓄功率、循环效率</x:v>
      </x:c>
      <x:c r="F26" s="25" t="str">
        <x:v>跨时段调节并提供备用和辅助服务</x:v>
      </x:c>
      <x:c r="G26" s="25" t="str">
        <x:v>逐日及迎峰季</x:v>
      </x:c>
      <x:c r="H26" s="25" t="str">
        <x:v>与常规水电分开，避免发电与抽水双重计入</x:v>
      </x:c>
      <x:c r="I26" s="25" t="str">
        <x:v>电网、业主公开资料</x:v>
      </x:c>
    </x:row>
    <x:row r="27">
      <x:c r="A27" s="25" t="str">
        <x:v>F26</x:v>
      </x:c>
      <x:c r="B27" s="25" t="str">
        <x:v>输电与调节</x:v>
      </x:c>
      <x:c r="C27" s="25" t="str">
        <x:v>需求响应</x:v>
      </x:c>
      <x:c r="D27" s="25" t="str">
        <x:v>全国</x:v>
      </x:c>
      <x:c r="E27" s="25" t="str">
        <x:v>可响应负荷、补偿、实际削减、反弹负荷</x:v>
      </x:c>
      <x:c r="F27" s="25" t="str">
        <x:v>价格和调度信号改变短时负荷</x:v>
      </x:c>
      <x:c r="G27" s="25" t="str">
        <x:v>尖峰或系统紧张时</x:v>
      </x:c>
      <x:c r="H27" s="25" t="str">
        <x:v>签约能力与真实可用响应分开</x:v>
      </x:c>
      <x:c r="I27" s="25" t="str">
        <x:v>需求响应平台与公开执行报告</x:v>
      </x:c>
    </x:row>
    <x:row r="28">
      <x:c r="A28" s="25" t="str">
        <x:v>F27</x:v>
      </x:c>
      <x:c r="B28" s="25" t="str">
        <x:v>制度与价格</x:v>
      </x:c>
      <x:c r="C28" s="25" t="str">
        <x:v>现货与中长期</x:v>
      </x:c>
      <x:c r="D28" s="25" t="str">
        <x:v>全国</x:v>
      </x:c>
      <x:c r="E28" s="25" t="str">
        <x:v>日前、实时、合同价格与成交量</x:v>
      </x:c>
      <x:c r="F28" s="25" t="str">
        <x:v>交易时序和结算方式改变风险与收入暴露</x:v>
      </x:c>
      <x:c r="G28" s="25" t="str">
        <x:v>逐日、月度、年度交易窗口</x:v>
      </x:c>
      <x:c r="H28" s="25" t="str">
        <x:v>分省、分市场、分时段、分结算对象</x:v>
      </x:c>
      <x:c r="I28" s="25" t="str">
        <x:v>交易中心、能源监管机构</x:v>
      </x:c>
    </x:row>
    <x:row r="29">
      <x:c r="A29" s="25" t="str">
        <x:v>F28</x:v>
      </x:c>
      <x:c r="B29" s="25" t="str">
        <x:v>制度与价格</x:v>
      </x:c>
      <x:c r="C29" s="25" t="str">
        <x:v>价格边界与补偿</x:v>
      </x:c>
      <x:c r="D29" s="25" t="str">
        <x:v>全国</x:v>
      </x:c>
      <x:c r="E29" s="25" t="str">
        <x:v>申报价限、出清价限、容量与辅助服务收入</x:v>
      </x:c>
      <x:c r="F29" s="25" t="str">
        <x:v>约束价格表达并改变电源固定成本回收</x:v>
      </x:c>
      <x:c r="G29" s="25" t="str">
        <x:v>规则生效期</x:v>
      </x:c>
      <x:c r="H29" s="25" t="str">
        <x:v>区分电能量价格、总收入和终端电费</x:v>
      </x:c>
      <x:c r="I29" s="25" t="str">
        <x:v>有效市场规则与价格政策</x:v>
      </x:c>
    </x:row>
    <x:row r="30">
      <x:c r="A30" s="25" t="str">
        <x:v>F29</x:v>
      </x:c>
      <x:c r="B30" s="25" t="str">
        <x:v>制度与价格</x:v>
      </x:c>
      <x:c r="C30" s="25" t="str">
        <x:v>碳成本与绿色属性</x:v>
      </x:c>
      <x:c r="D30" s="25" t="str">
        <x:v>全国</x:v>
      </x:c>
      <x:c r="E30" s="25" t="str">
        <x:v>碳价、配额缺口、绿证与绿电溢价</x:v>
      </x:c>
      <x:c r="F30" s="25" t="str">
        <x:v>碳成本影响煤电边际成本，绿色属性影响交易价值</x:v>
      </x:c>
      <x:c r="G30" s="25" t="str">
        <x:v>履约周期与采购窗口</x:v>
      </x:c>
      <x:c r="H30" s="25" t="str">
        <x:v>配额分配方法及电量绿色属性需一致</x:v>
      </x:c>
      <x:c r="I30" s="25" t="str">
        <x:v>生态环境部、碳市场、绿证平台</x:v>
      </x:c>
    </x:row>
    <x:row r="31">
      <x:c r="A31" s="25" t="str">
        <x:v>F30</x:v>
      </x:c>
      <x:c r="B31" s="25" t="str">
        <x:v>宏观与气候</x:v>
      </x:c>
      <x:c r="C31" s="25" t="str">
        <x:v>经济与产业政策</x:v>
      </x:c>
      <x:c r="D31" s="25" t="str">
        <x:v>全国</x:v>
      </x:c>
      <x:c r="E31" s="25" t="str">
        <x:v>工业生产、订单、投资、产业项目实际投产</x:v>
      </x:c>
      <x:c r="F31" s="25" t="str">
        <x:v>通过行业活动改变用电及能源需求</x:v>
      </x:c>
      <x:c r="G31" s="25" t="str">
        <x:v>月度与季度</x:v>
      </x:c>
      <x:c r="H31" s="25" t="str">
        <x:v>宏观事件共享，各品种弹性与时滞单列</x:v>
      </x:c>
      <x:c r="I31" s="25" t="str">
        <x:v>统计局、人民银行、部委</x:v>
      </x:c>
    </x:row>
    <x:row r="32">
      <x:c r="A32" s="25" t="str">
        <x:v>F31</x:v>
      </x:c>
      <x:c r="B32" s="25" t="str">
        <x:v>宏观与气候</x:v>
      </x:c>
      <x:c r="C32" s="25" t="str">
        <x:v>利率与汇率</x:v>
      </x:c>
      <x:c r="D32" s="25" t="str">
        <x:v>全球</x:v>
      </x:c>
      <x:c r="E32" s="25" t="str">
        <x:v>政策利率、美元指数、人民币汇率</x:v>
      </x:c>
      <x:c r="F32" s="25" t="str">
        <x:v>通过融资、进口成本和需求预期传导</x:v>
      </x:c>
      <x:c r="G32" s="25" t="str">
        <x:v>政策决议及重定价窗口</x:v>
      </x:c>
      <x:c r="H32" s="25" t="str">
        <x:v>共用事件不等于共用价格结论</x:v>
      </x:c>
      <x:c r="I32" s="25" t="str">
        <x:v>央行、美联储、外汇公开数据</x:v>
      </x:c>
    </x:row>
    <x:row r="33">
      <x:c r="A33" s="25" t="str">
        <x:v>F32</x:v>
      </x:c>
      <x:c r="B33" s="25" t="str">
        <x:v>宏观与气候</x:v>
      </x:c>
      <x:c r="C33" s="25" t="str">
        <x:v>地缘与贸易</x:v>
      </x:c>
      <x:c r="D33" s="25" t="str">
        <x:v>全球</x:v>
      </x:c>
      <x:c r="E33" s="25" t="str">
        <x:v>制裁范围、航线、运费、进口结构</x:v>
      </x:c>
      <x:c r="F33" s="25" t="str">
        <x:v>影响煤气油供应、成本和工业需求</x:v>
      </x:c>
      <x:c r="G33" s="25" t="str">
        <x:v>事件窗口与运输时滞</x:v>
      </x:c>
      <x:c r="H33" s="25" t="str">
        <x:v>政策公告、实际执行与供应损失分别记录</x:v>
      </x:c>
      <x:c r="I33" s="25" t="str">
        <x:v>政府公告、海关与航运公开数据</x:v>
      </x:c>
    </x:row>
    <x:row r="34">
      <x:c r="A34" s="25" t="str">
        <x:v>F33</x:v>
      </x:c>
      <x:c r="B34" s="25" t="str">
        <x:v>宏观与气候</x:v>
      </x:c>
      <x:c r="C34" s="25" t="str">
        <x:v>ENSO与区域天气</x:v>
      </x:c>
      <x:c r="D34" s="25" t="str">
        <x:v>全球</x:v>
      </x:c>
      <x:c r="E34" s="25" t="str">
        <x:v>ONI、区域温度、风速、辐射、降水</x:v>
      </x:c>
      <x:c r="F34" s="25" t="str">
        <x:v>改变天气分布的概率，从供给与负荷两侧传导</x:v>
      </x:c>
      <x:c r="G34" s="25" t="str">
        <x:v>跨季节，分区域和滞后验证</x:v>
      </x:c>
      <x:c r="H34" s="25" t="str">
        <x:v>ENSO相位不能直接推出某省某月负荷或电价</x:v>
      </x:c>
      <x:c r="I34" s="25" t="str">
        <x:v>WMO、NOAA、气象局、PowerCurve</x:v>
      </x:c>
    </x:row>
    <x:row r="35">
      <x:c r="A35" s="25" t="str">
        <x:v>F34</x:v>
      </x:c>
      <x:c r="B35" s="25" t="str">
        <x:v>宏观与气候</x:v>
      </x:c>
      <x:c r="C35" s="25" t="str">
        <x:v>复合极端天气</x:v>
      </x:c>
      <x:c r="D35" s="25" t="str">
        <x:v>全国</x:v>
      </x:c>
      <x:c r="E35" s="25" t="str">
        <x:v>高温低风、干旱少水、寒潮覆冰与连续阴雨</x:v>
      </x:c>
      <x:c r="F35" s="25" t="str">
        <x:v>供给减弱与需求上升可能同时出现</x:v>
      </x:c>
      <x:c r="G35" s="25" t="str">
        <x:v>极端事件发生期</x:v>
      </x:c>
      <x:c r="H35" s="25" t="str">
        <x:v>联合概率不能用单变量月均值替代</x:v>
      </x:c>
      <x:c r="I35" s="25" t="str">
        <x:v>气象部门、能源监管机构、PowerCurve</x:v>
      </x:c>
    </x:row>
  </x:sheetData>
  <x:pageMargins left="0.7" right="0.7" top="0.75" bottom="0.75" header="0.3" footer="0.3"/>
  <x:tableParts count="1">
    <x:tablePart xmlns:r="http://schemas.openxmlformats.org/officeDocument/2006/relationships" r:id="Ra45dbe6dd73c46c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19" hidden="0" customWidth="1"/>
    <x:col min="3" max="3" width="22" hidden="0" customWidth="1"/>
    <x:col min="4" max="4" width="21" hidden="0" customWidth="1"/>
    <x:col min="5" max="5" width="53" hidden="0" customWidth="1"/>
    <x:col min="6" max="6" width="45" hidden="0" customWidth="1"/>
    <x:col min="7" max="7" width="58" hidden="0" customWidth="1"/>
  </x:cols>
  <x:sheetData>
    <x:row r="1">
      <x:c r="A1" s="5" t="str">
        <x:v>关系ID</x:v>
      </x:c>
      <x:c r="B1" s="5" t="str">
        <x:v>起点</x:v>
      </x:c>
      <x:c r="C1" s="5" t="str">
        <x:v>终点</x:v>
      </x:c>
      <x:c r="D1" s="5" t="str">
        <x:v>关系类型</x:v>
      </x:c>
      <x:c r="E1" s="5" t="str">
        <x:v>传导路径</x:v>
      </x:c>
      <x:c r="F1" s="5" t="str">
        <x:v>观察指标</x:v>
      </x:c>
      <x:c r="G1" s="5" t="str">
        <x:v>成立条件</x:v>
      </x:c>
    </x:row>
    <x:row r="2">
      <x:c r="A2" s="25" t="str">
        <x:v>R01</x:v>
      </x:c>
      <x:c r="B2" s="25" t="str">
        <x:v>动力煤</x:v>
      </x:c>
      <x:c r="C2" s="25" t="str">
        <x:v>电力</x:v>
      </x:c>
      <x:c r="D2" s="25" t="str">
        <x:v>燃料成本</x:v>
      </x:c>
      <x:c r="E2" s="25" t="str">
        <x:v>到厂煤价影响煤电单位供电成本</x:v>
      </x:c>
      <x:c r="F2" s="25" t="str">
        <x:v>到厂煤价、热值、供电煤耗、煤电利润</x:v>
      </x:c>
      <x:c r="G2" s="25" t="str">
        <x:v>长协、库存与交易机制决定成本传导幅度和时滞</x:v>
      </x:c>
    </x:row>
    <x:row r="3">
      <x:c r="A3" s="25" t="str">
        <x:v>R02</x:v>
      </x:c>
      <x:c r="B3" s="25" t="str">
        <x:v>电力</x:v>
      </x:c>
      <x:c r="C3" s="25" t="str">
        <x:v>动力煤</x:v>
      </x:c>
      <x:c r="D3" s="25" t="str">
        <x:v>燃料需求</x:v>
      </x:c>
      <x:c r="E3" s="25" t="str">
        <x:v>剩余电力需求影响煤电发电和电煤消耗</x:v>
      </x:c>
      <x:c r="F3" s="25" t="str">
        <x:v>煤电发电量、电厂日耗、库存可用天数</x:v>
      </x:c>
      <x:c r="G3" s="25" t="str">
        <x:v>先剔除风光水核变化、供热及送受电差异</x:v>
      </x:c>
    </x:row>
    <x:row r="4">
      <x:c r="A4" s="25" t="str">
        <x:v>R03</x:v>
      </x:c>
      <x:c r="B4" s="25" t="str">
        <x:v>煤炭</x:v>
      </x:c>
      <x:c r="C4" s="25" t="str">
        <x:v>甲醇</x:v>
      </x:c>
      <x:c r="D4" s="25" t="str">
        <x:v>原料成本</x:v>
      </x:c>
      <x:c r="E4" s="25" t="str">
        <x:v>适用煤种成本影响煤制甲醇利润和开工</x:v>
      </x:c>
      <x:c r="F4" s="25" t="str">
        <x:v>原料煤采购价、煤制利润、煤头开工</x:v>
      </x:c>
      <x:c r="G4" s="25" t="str">
        <x:v>原料煤与电煤煤质不同，动力煤指数仅能作代理变量</x:v>
      </x:c>
    </x:row>
    <x:row r="5">
      <x:c r="A5" s="25" t="str">
        <x:v>R04</x:v>
      </x:c>
      <x:c r="B5" s="25" t="str">
        <x:v>天然气</x:v>
      </x:c>
      <x:c r="C5" s="25" t="str">
        <x:v>甲醇</x:v>
      </x:c>
      <x:c r="D5" s="25" t="str">
        <x:v>原料与限气</x:v>
      </x:c>
      <x:c r="E5" s="25" t="str">
        <x:v>气价和气源分配影响气制甲醇供给及进口</x:v>
      </x:c>
      <x:c r="F5" s="25" t="str">
        <x:v>气头装置开工、限气、进口船期</x:v>
      </x:c>
      <x:c r="G5" s="25" t="str">
        <x:v>国内外区域气源不同，不能套用同一价格</x:v>
      </x:c>
    </x:row>
    <x:row r="6">
      <x:c r="A6" s="25" t="str">
        <x:v>R05</x:v>
      </x:c>
      <x:c r="B6" s="25" t="str">
        <x:v>原油</x:v>
      </x:c>
      <x:c r="C6" s="25" t="str">
        <x:v>甲醇</x:v>
      </x:c>
      <x:c r="D6" s="25" t="str">
        <x:v>路线竞争</x:v>
      </x:c>
      <x:c r="E6" s="25" t="str">
        <x:v>原油经石脑油裂解与烯烃价格影响MTO竞争力</x:v>
      </x:c>
      <x:c r="F6" s="25" t="str">
        <x:v>石脑油裂解利润、烯烃价、外采MTO利润与开工</x:v>
      </x:c>
      <x:c r="G6" s="25" t="str">
        <x:v>国内甲醇主要成本锚是煤与气；油价传导取决于烯烃供需</x:v>
      </x:c>
    </x:row>
    <x:row r="7">
      <x:c r="A7" s="25" t="str">
        <x:v>R06</x:v>
      </x:c>
      <x:c r="B7" s="25" t="str">
        <x:v>甲醇</x:v>
      </x:c>
      <x:c r="C7" s="25" t="str">
        <x:v>原油及油品</x:v>
      </x:c>
      <x:c r="D7" s="25" t="str">
        <x:v>终端替代</x:v>
      </x:c>
      <x:c r="E7" s="25" t="str">
        <x:v>甲醇燃料和MTO路线改变部分油品及石脑油需求</x:v>
      </x:c>
      <x:c r="F7" s="25" t="str">
        <x:v>替代规模、燃料价差、装置开工</x:v>
      </x:c>
      <x:c r="G7" s="25" t="str">
        <x:v>替代受设备与政策约束，不能推成全球油价对称传导</x:v>
      </x:c>
    </x:row>
    <x:row r="8">
      <x:c r="A8" s="25" t="str">
        <x:v>R07</x:v>
      </x:c>
      <x:c r="B8" s="25" t="str">
        <x:v>电力</x:v>
      </x:c>
      <x:c r="C8" s="25" t="str">
        <x:v>甲醇</x:v>
      </x:c>
      <x:c r="D8" s="25" t="str">
        <x:v>公用工程成本</x:v>
      </x:c>
      <x:c r="E8" s="25" t="str">
        <x:v>用电价格和供电可得性影响装置生产成本与开工</x:v>
      </x:c>
      <x:c r="F8" s="25" t="str">
        <x:v>装置电耗、购电价、自备电、开停工</x:v>
      </x:c>
      <x:c r="G8" s="25" t="str">
        <x:v>煤气一体化与外购电装置暴露不同</x:v>
      </x:c>
    </x:row>
    <x:row r="9">
      <x:c r="A9" s="25" t="str">
        <x:v>R08</x:v>
      </x:c>
      <x:c r="B9" s="25" t="str">
        <x:v>甲醇</x:v>
      </x:c>
      <x:c r="C9" s="25" t="str">
        <x:v>电力</x:v>
      </x:c>
      <x:c r="D9" s="25" t="str">
        <x:v>工业用电</x:v>
      </x:c>
      <x:c r="E9" s="25" t="str">
        <x:v>甲醇及下游装置开工改变地区工业负荷</x:v>
      </x:c>
      <x:c r="F9" s="25" t="str">
        <x:v>装置产量、开工率、单位电耗</x:v>
      </x:c>
      <x:c r="G9" s="25" t="str">
        <x:v>须落实到具体装置、省份与外购电边界</x:v>
      </x:c>
    </x:row>
    <x:row r="10">
      <x:c r="A10" s="25" t="str">
        <x:v>R09</x:v>
      </x:c>
      <x:c r="B10" s="25" t="str">
        <x:v>天然气</x:v>
      </x:c>
      <x:c r="C10" s="25" t="str">
        <x:v>电力</x:v>
      </x:c>
      <x:c r="D10" s="25" t="str">
        <x:v>燃料成本与保供</x:v>
      </x:c>
      <x:c r="E10" s="25" t="str">
        <x:v>天然气价格和可得性影响气电发电成本与能力</x:v>
      </x:c>
      <x:c r="F10" s="25" t="str">
        <x:v>气价、热耗、气电可用容量</x:v>
      </x:c>
      <x:c r="G10" s="25" t="str">
        <x:v>气电占比、气源合同及调度角色按省核实</x:v>
      </x:c>
    </x:row>
    <x:row r="11">
      <x:c r="A11" s="25" t="str">
        <x:v>R10</x:v>
      </x:c>
      <x:c r="B11" s="25" t="str">
        <x:v>原油及油品</x:v>
      </x:c>
      <x:c r="C11" s="25" t="str">
        <x:v>电力</x:v>
      </x:c>
      <x:c r="D11" s="25" t="str">
        <x:v>燃料替代</x:v>
      </x:c>
      <x:c r="E11" s="25" t="str">
        <x:v>部分地区燃油发电或油气替代改变电力成本</x:v>
      </x:c>
      <x:c r="F11" s="25" t="str">
        <x:v>燃油电源占比、油气比价、燃料切换能力</x:v>
      </x:c>
      <x:c r="G11" s="25" t="str">
        <x:v>中国多数省份不可套用原油主导电价的假设</x:v>
      </x:c>
    </x:row>
    <x:row r="12">
      <x:c r="A12" s="25" t="str">
        <x:v>R11</x:v>
      </x:c>
      <x:c r="B12" s="25" t="str">
        <x:v>新能源电力</x:v>
      </x:c>
      <x:c r="C12" s="25" t="str">
        <x:v>绿色甲醇</x:v>
      </x:c>
      <x:c r="D12" s="25" t="str">
        <x:v>新生产路线</x:v>
      </x:c>
      <x:c r="E12" s="25" t="str">
        <x:v>可再生电力制氢并合成甲醇，用电成为关键投入</x:v>
      </x:c>
      <x:c r="F12" s="25" t="str">
        <x:v>电价、利用小时、电解效率、CO₂来源</x:v>
      </x:c>
      <x:c r="G12" s="25" t="str">
        <x:v>与传统煤制和气制甲醇分别建模，不预设当前规模</x:v>
      </x:c>
    </x:row>
  </x:sheetData>
  <x:pageMargins left="0.7" right="0.7" top="0.75" bottom="0.75" header="0.3" footer="0.3"/>
  <x:tableParts count="1">
    <x:tablePart xmlns:r="http://schemas.openxmlformats.org/officeDocument/2006/relationships" r:id="R398549f186b34a43"/>
  </x:tableParts>
</x:worksheet>
</file>